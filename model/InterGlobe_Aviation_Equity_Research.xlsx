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keyurmarolia/Documents/PROJECTS/InterGlobe Aviation Equity Research/model/"/>
    </mc:Choice>
  </mc:AlternateContent>
  <xr:revisionPtr revIDLastSave="0" documentId="13_ncr:1_{443B92C9-682E-C249-B9FC-B536F96704C8}" xr6:coauthVersionLast="47" xr6:coauthVersionMax="47" xr10:uidLastSave="{00000000-0000-0000-0000-000000000000}"/>
  <bookViews>
    <workbookView xWindow="0" yWindow="660" windowWidth="29400" windowHeight="18460" firstSheet="6" activeTab="12" xr2:uid="{00000000-000D-0000-FFFF-FFFF00000000}"/>
  </bookViews>
  <sheets>
    <sheet name="00_Cover" sheetId="1" r:id="rId1"/>
    <sheet name="01_Sources" sheetId="2" r:id="rId2"/>
    <sheet name="02_Raw_Financials" sheetId="3" r:id="rId3"/>
    <sheet name="03_Raw_Operating_KPIs" sheetId="4" r:id="rId4"/>
    <sheet name="04_Industry_Data" sheetId="20" r:id="rId5"/>
    <sheet name="05_Historical_Analysis" sheetId="7" r:id="rId6"/>
    <sheet name="06_Operating_Model" sheetId="9" r:id="rId7"/>
    <sheet name="07_Income_Statement" sheetId="10" r:id="rId8"/>
    <sheet name="08_Balance_Sheet" sheetId="11" r:id="rId9"/>
    <sheet name="09_Cash_Flow" sheetId="12" r:id="rId10"/>
    <sheet name="10_Scenarios" sheetId="13" r:id="rId11"/>
    <sheet name="11_DCF" sheetId="14" r:id="rId12"/>
    <sheet name="12_Reverse_DCF" sheetId="2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3" i="14" l="1" a="1"/>
  <c r="E43" i="14" s="1"/>
  <c r="D43" i="14" a="1"/>
  <c r="D43" i="14" s="1"/>
  <c r="C43" i="14" a="1"/>
  <c r="C43" i="14" s="1"/>
  <c r="E42" i="14" a="1"/>
  <c r="E42" i="14" s="1"/>
  <c r="D42" i="14" a="1"/>
  <c r="D42" i="14" s="1"/>
  <c r="C42" i="14" a="1"/>
  <c r="C42" i="14" s="1"/>
  <c r="E41" i="14" a="1"/>
  <c r="E41" i="14" s="1"/>
  <c r="D41" i="14" a="1"/>
  <c r="D41" i="14" s="1"/>
  <c r="C41" i="14" a="1"/>
  <c r="C41" i="14" s="1"/>
  <c r="E40" i="14" a="1"/>
  <c r="E40" i="14" s="1"/>
  <c r="D40" i="14" a="1"/>
  <c r="D40" i="14" s="1"/>
  <c r="C40" i="14" a="1"/>
  <c r="C40" i="14" s="1"/>
  <c r="C36" i="14"/>
  <c r="C31" i="14"/>
  <c r="D39" i="14"/>
  <c r="B41" i="14"/>
  <c r="J14" i="12"/>
  <c r="I14" i="12"/>
  <c r="H14" i="12"/>
  <c r="G14" i="12"/>
  <c r="F14" i="12"/>
  <c r="J9" i="12"/>
  <c r="I9" i="12"/>
  <c r="H9" i="12"/>
  <c r="G9" i="12"/>
  <c r="F9" i="12"/>
  <c r="E9" i="12"/>
  <c r="D9" i="12"/>
  <c r="C9" i="12"/>
  <c r="C12" i="12" s="1"/>
  <c r="C16" i="12" s="1"/>
  <c r="C17" i="12" s="1"/>
  <c r="C13" i="1"/>
  <c r="D15" i="13"/>
  <c r="C15" i="13"/>
  <c r="B15" i="13"/>
  <c r="D14" i="13"/>
  <c r="C14" i="13"/>
  <c r="B14" i="13"/>
  <c r="D13" i="13"/>
  <c r="C13" i="13"/>
  <c r="B13" i="13"/>
  <c r="D12" i="13"/>
  <c r="C12" i="13"/>
  <c r="B12" i="13"/>
  <c r="C10" i="13"/>
  <c r="C9" i="13"/>
  <c r="C8" i="13"/>
  <c r="C7" i="13"/>
  <c r="E21" i="20"/>
  <c r="E20" i="20"/>
  <c r="E14" i="20"/>
  <c r="D14" i="20"/>
  <c r="E12" i="20"/>
  <c r="D12" i="20"/>
  <c r="E10" i="20"/>
  <c r="D10" i="20"/>
  <c r="E86" i="11"/>
  <c r="E51" i="9"/>
  <c r="D51" i="9"/>
  <c r="C51" i="9"/>
  <c r="C21" i="23"/>
  <c r="C10" i="23"/>
  <c r="C9" i="23"/>
  <c r="C8" i="23"/>
  <c r="C9" i="1"/>
  <c r="C8" i="1"/>
  <c r="C35" i="14"/>
  <c r="C32" i="14"/>
  <c r="C30" i="14"/>
  <c r="B21" i="14"/>
  <c r="F10" i="14" s="1"/>
  <c r="B19" i="14"/>
  <c r="B17" i="14"/>
  <c r="E10" i="14"/>
  <c r="J15" i="12"/>
  <c r="I15" i="12"/>
  <c r="H15" i="12"/>
  <c r="G15" i="12"/>
  <c r="F15" i="12"/>
  <c r="E15" i="12"/>
  <c r="D15" i="12"/>
  <c r="C15" i="12"/>
  <c r="D14" i="12"/>
  <c r="C14" i="12"/>
  <c r="E12" i="12"/>
  <c r="D12" i="12"/>
  <c r="D16" i="12" s="1"/>
  <c r="D17" i="12" s="1"/>
  <c r="E11" i="12"/>
  <c r="D11" i="12"/>
  <c r="C11" i="12"/>
  <c r="J10" i="12"/>
  <c r="I10" i="12"/>
  <c r="H10" i="12"/>
  <c r="G10" i="12"/>
  <c r="F10" i="12"/>
  <c r="E10" i="12"/>
  <c r="D10" i="12"/>
  <c r="C10" i="12"/>
  <c r="J13" i="12"/>
  <c r="I13" i="12"/>
  <c r="H13" i="12"/>
  <c r="G13" i="12"/>
  <c r="F13" i="12"/>
  <c r="E13" i="12"/>
  <c r="D13" i="12"/>
  <c r="C13" i="12"/>
  <c r="J33" i="10"/>
  <c r="I33" i="10"/>
  <c r="H33" i="10"/>
  <c r="G33" i="10"/>
  <c r="F33" i="10"/>
  <c r="J32" i="10"/>
  <c r="I32" i="10"/>
  <c r="H32" i="10"/>
  <c r="G32" i="10"/>
  <c r="F32" i="10"/>
  <c r="C72" i="11"/>
  <c r="E84" i="11"/>
  <c r="D84" i="11"/>
  <c r="C84" i="11"/>
  <c r="E83" i="11"/>
  <c r="D83" i="11"/>
  <c r="C83" i="11"/>
  <c r="E82" i="11"/>
  <c r="D82" i="11"/>
  <c r="C82" i="11"/>
  <c r="E81" i="11"/>
  <c r="D81" i="11"/>
  <c r="C81" i="11"/>
  <c r="J77" i="11"/>
  <c r="I77" i="11"/>
  <c r="H77" i="11"/>
  <c r="G77" i="11"/>
  <c r="F77" i="11"/>
  <c r="E77" i="11"/>
  <c r="D77" i="11"/>
  <c r="C77" i="11"/>
  <c r="E76" i="11"/>
  <c r="D76" i="11"/>
  <c r="C76" i="11"/>
  <c r="J75" i="11"/>
  <c r="I75" i="11"/>
  <c r="H75" i="11"/>
  <c r="G75" i="11"/>
  <c r="F75" i="11"/>
  <c r="E75" i="11"/>
  <c r="D75" i="11"/>
  <c r="C75" i="11"/>
  <c r="J74" i="11"/>
  <c r="I74" i="11"/>
  <c r="H74" i="11"/>
  <c r="G74" i="11"/>
  <c r="F74" i="11"/>
  <c r="E74" i="11"/>
  <c r="D74" i="11"/>
  <c r="C74" i="11"/>
  <c r="J73" i="11"/>
  <c r="I73" i="11"/>
  <c r="H73" i="11"/>
  <c r="G73" i="11"/>
  <c r="F73" i="11"/>
  <c r="E73" i="11"/>
  <c r="D73" i="11"/>
  <c r="C73" i="11"/>
  <c r="E72" i="11"/>
  <c r="D72" i="11"/>
  <c r="G71" i="11"/>
  <c r="H71" i="11" s="1"/>
  <c r="I71" i="11" s="1"/>
  <c r="J71" i="11" s="1"/>
  <c r="F71" i="11"/>
  <c r="E71" i="11"/>
  <c r="D71" i="11"/>
  <c r="C71" i="11"/>
  <c r="D68" i="11"/>
  <c r="C68" i="11"/>
  <c r="J67" i="11"/>
  <c r="I67" i="11"/>
  <c r="H67" i="11"/>
  <c r="G67" i="11"/>
  <c r="F67" i="11"/>
  <c r="E67" i="11"/>
  <c r="E14" i="12" s="1"/>
  <c r="D67" i="11"/>
  <c r="C67" i="11"/>
  <c r="J66" i="11"/>
  <c r="I66" i="11"/>
  <c r="H66" i="11"/>
  <c r="G66" i="11"/>
  <c r="F66" i="11"/>
  <c r="E66" i="11"/>
  <c r="D66" i="11"/>
  <c r="C66" i="11"/>
  <c r="E65" i="11"/>
  <c r="D65" i="11"/>
  <c r="C65" i="11"/>
  <c r="J64" i="11"/>
  <c r="I64" i="11"/>
  <c r="H64" i="11"/>
  <c r="G64" i="11"/>
  <c r="F64" i="11"/>
  <c r="E64" i="11"/>
  <c r="D64" i="11"/>
  <c r="C64" i="11"/>
  <c r="J63" i="11"/>
  <c r="I63" i="11"/>
  <c r="H63" i="11"/>
  <c r="G63" i="11"/>
  <c r="F63" i="11"/>
  <c r="E63" i="11"/>
  <c r="D63" i="11"/>
  <c r="C63" i="11"/>
  <c r="J38" i="11"/>
  <c r="I38" i="11"/>
  <c r="H38" i="11"/>
  <c r="G38" i="11"/>
  <c r="F38" i="11"/>
  <c r="E38" i="11"/>
  <c r="D38" i="11"/>
  <c r="C38" i="11"/>
  <c r="J48" i="11"/>
  <c r="J47" i="11"/>
  <c r="I48" i="11"/>
  <c r="I47" i="11"/>
  <c r="H48" i="11"/>
  <c r="H47" i="11"/>
  <c r="G48" i="11"/>
  <c r="G47" i="11"/>
  <c r="F48" i="11"/>
  <c r="F47" i="11"/>
  <c r="E48" i="11"/>
  <c r="E47" i="11"/>
  <c r="D48" i="11"/>
  <c r="D47" i="11"/>
  <c r="C48" i="11"/>
  <c r="C47" i="11"/>
  <c r="J43" i="11"/>
  <c r="J42" i="11"/>
  <c r="I43" i="11"/>
  <c r="I42" i="11"/>
  <c r="H43" i="11"/>
  <c r="H42" i="11"/>
  <c r="G43" i="11"/>
  <c r="G42" i="11"/>
  <c r="F43" i="11"/>
  <c r="F42" i="11"/>
  <c r="E46" i="11"/>
  <c r="E45" i="11"/>
  <c r="E43" i="11"/>
  <c r="E42" i="11"/>
  <c r="J37" i="11"/>
  <c r="J36" i="11"/>
  <c r="J35" i="11"/>
  <c r="I37" i="11"/>
  <c r="I36" i="11"/>
  <c r="I35" i="11"/>
  <c r="H37" i="11"/>
  <c r="H36" i="11"/>
  <c r="H35" i="11"/>
  <c r="G37" i="11"/>
  <c r="G36" i="11"/>
  <c r="G35" i="11"/>
  <c r="F37" i="11"/>
  <c r="F36" i="11"/>
  <c r="F35" i="11"/>
  <c r="E37" i="11"/>
  <c r="E36" i="11"/>
  <c r="E35" i="11"/>
  <c r="D37" i="11"/>
  <c r="D36" i="11"/>
  <c r="D35" i="11"/>
  <c r="C37" i="11"/>
  <c r="C36" i="11"/>
  <c r="C35" i="11"/>
  <c r="J33" i="11"/>
  <c r="J32" i="11"/>
  <c r="I33" i="11"/>
  <c r="I32" i="11"/>
  <c r="H33" i="11"/>
  <c r="H32" i="11"/>
  <c r="G33" i="11"/>
  <c r="G32" i="11"/>
  <c r="H30" i="11" s="1"/>
  <c r="F33" i="11"/>
  <c r="F32" i="11"/>
  <c r="E31" i="11"/>
  <c r="D31" i="11"/>
  <c r="C31" i="11"/>
  <c r="E34" i="11"/>
  <c r="D34" i="11"/>
  <c r="C34" i="11"/>
  <c r="E33" i="11"/>
  <c r="D33" i="11"/>
  <c r="C33" i="11"/>
  <c r="E32" i="11"/>
  <c r="D32" i="11"/>
  <c r="C32" i="11"/>
  <c r="J30" i="11"/>
  <c r="I30" i="11"/>
  <c r="G30" i="11"/>
  <c r="F30" i="11"/>
  <c r="E30" i="11"/>
  <c r="D30" i="11"/>
  <c r="C30" i="11"/>
  <c r="J26" i="11"/>
  <c r="J25" i="11"/>
  <c r="J24" i="11"/>
  <c r="I26" i="11"/>
  <c r="I25" i="11"/>
  <c r="I24" i="11"/>
  <c r="H26" i="11"/>
  <c r="H25" i="11"/>
  <c r="H24" i="11"/>
  <c r="G26" i="11"/>
  <c r="G25" i="11"/>
  <c r="G24" i="11"/>
  <c r="F26" i="11"/>
  <c r="F25" i="11"/>
  <c r="F24" i="11"/>
  <c r="E27" i="11"/>
  <c r="E26" i="11"/>
  <c r="E25" i="11"/>
  <c r="E24" i="11"/>
  <c r="D27" i="11"/>
  <c r="D26" i="11"/>
  <c r="D25" i="11"/>
  <c r="D24" i="11"/>
  <c r="C27" i="11"/>
  <c r="C26" i="11"/>
  <c r="C25" i="11"/>
  <c r="C24" i="11"/>
  <c r="J23" i="11"/>
  <c r="J22" i="11"/>
  <c r="J20" i="11"/>
  <c r="I23" i="11"/>
  <c r="I22" i="11"/>
  <c r="I20" i="11"/>
  <c r="J18" i="11" s="1"/>
  <c r="H23" i="11"/>
  <c r="H22" i="11"/>
  <c r="H20" i="11"/>
  <c r="G23" i="11"/>
  <c r="G22" i="11"/>
  <c r="G20" i="11"/>
  <c r="F23" i="11"/>
  <c r="F22" i="11"/>
  <c r="F20" i="11"/>
  <c r="E21" i="11"/>
  <c r="E19" i="11"/>
  <c r="D21" i="11"/>
  <c r="D19" i="11"/>
  <c r="C21" i="11"/>
  <c r="C19" i="11"/>
  <c r="E23" i="11"/>
  <c r="D23" i="11"/>
  <c r="C23" i="11"/>
  <c r="E22" i="11"/>
  <c r="D22" i="11"/>
  <c r="C22" i="11"/>
  <c r="E20" i="11"/>
  <c r="D20" i="11"/>
  <c r="C20" i="11"/>
  <c r="I18" i="11"/>
  <c r="H18" i="11"/>
  <c r="G18" i="11"/>
  <c r="F18" i="11"/>
  <c r="E18" i="11"/>
  <c r="D18" i="11"/>
  <c r="C18" i="11"/>
  <c r="E12" i="11"/>
  <c r="D12" i="11"/>
  <c r="C12" i="11"/>
  <c r="J12" i="11"/>
  <c r="J11" i="11"/>
  <c r="J10" i="11"/>
  <c r="I12" i="11"/>
  <c r="I11" i="11"/>
  <c r="I10" i="11"/>
  <c r="H12" i="11"/>
  <c r="H11" i="11"/>
  <c r="H10" i="11"/>
  <c r="G12" i="11"/>
  <c r="G11" i="11"/>
  <c r="G10" i="11"/>
  <c r="F12" i="11"/>
  <c r="F11" i="11"/>
  <c r="F10" i="11"/>
  <c r="J15" i="11"/>
  <c r="J14" i="11"/>
  <c r="J13" i="11"/>
  <c r="J9" i="11"/>
  <c r="I15" i="11"/>
  <c r="I14" i="11"/>
  <c r="I13" i="11"/>
  <c r="I9" i="11"/>
  <c r="H15" i="11"/>
  <c r="H14" i="11"/>
  <c r="H13" i="11"/>
  <c r="H9" i="11"/>
  <c r="G15" i="11"/>
  <c r="G14" i="11"/>
  <c r="G13" i="11"/>
  <c r="G9" i="11"/>
  <c r="F15" i="11"/>
  <c r="F14" i="11"/>
  <c r="F13" i="11"/>
  <c r="F9" i="11"/>
  <c r="E15" i="11"/>
  <c r="E14" i="11"/>
  <c r="E13" i="11"/>
  <c r="E9" i="11"/>
  <c r="D15" i="11"/>
  <c r="D14" i="11"/>
  <c r="D13" i="11"/>
  <c r="D9" i="11"/>
  <c r="C15" i="11"/>
  <c r="C14" i="11"/>
  <c r="C13" i="11"/>
  <c r="C9" i="11"/>
  <c r="J36" i="9"/>
  <c r="I36" i="9"/>
  <c r="H36" i="9"/>
  <c r="G36" i="9"/>
  <c r="F36" i="9"/>
  <c r="E36" i="9"/>
  <c r="D36" i="9"/>
  <c r="J44" i="9"/>
  <c r="J37" i="9"/>
  <c r="J35" i="9"/>
  <c r="I44" i="9"/>
  <c r="I37" i="9"/>
  <c r="I35" i="9"/>
  <c r="H44" i="9"/>
  <c r="H37" i="9"/>
  <c r="H35" i="9"/>
  <c r="G44" i="9"/>
  <c r="G37" i="9"/>
  <c r="G35" i="9"/>
  <c r="F44" i="9"/>
  <c r="F37" i="9"/>
  <c r="F35" i="9"/>
  <c r="E44" i="9"/>
  <c r="E37" i="9"/>
  <c r="E35" i="9"/>
  <c r="D44" i="9"/>
  <c r="D37" i="9"/>
  <c r="D35" i="9"/>
  <c r="C44" i="9"/>
  <c r="C37" i="9"/>
  <c r="C35" i="9"/>
  <c r="E49" i="10"/>
  <c r="D49" i="10"/>
  <c r="C49" i="10"/>
  <c r="J42" i="10"/>
  <c r="I42" i="10"/>
  <c r="H42" i="10"/>
  <c r="G42" i="10"/>
  <c r="F42" i="10"/>
  <c r="E45" i="10"/>
  <c r="E44" i="10"/>
  <c r="E43" i="10"/>
  <c r="E42" i="10"/>
  <c r="E38" i="10"/>
  <c r="E37" i="10"/>
  <c r="E36" i="10"/>
  <c r="E35" i="10"/>
  <c r="E34" i="10"/>
  <c r="E32" i="10"/>
  <c r="E21" i="10"/>
  <c r="E20" i="10"/>
  <c r="E19" i="10"/>
  <c r="E18" i="10"/>
  <c r="E17" i="10"/>
  <c r="D45" i="10"/>
  <c r="D44" i="10"/>
  <c r="D43" i="10"/>
  <c r="D42" i="10"/>
  <c r="D38" i="10"/>
  <c r="D37" i="10"/>
  <c r="D36" i="10"/>
  <c r="D35" i="10"/>
  <c r="D34" i="10"/>
  <c r="D32" i="10"/>
  <c r="D21" i="10"/>
  <c r="D20" i="10"/>
  <c r="D19" i="10"/>
  <c r="D18" i="10"/>
  <c r="D17" i="10"/>
  <c r="D12" i="10"/>
  <c r="C44" i="10"/>
  <c r="C42" i="10"/>
  <c r="C38" i="10"/>
  <c r="C37" i="10"/>
  <c r="C36" i="10"/>
  <c r="C35" i="10"/>
  <c r="C34" i="10"/>
  <c r="C32" i="10"/>
  <c r="C21" i="10"/>
  <c r="C20" i="10"/>
  <c r="C19" i="10"/>
  <c r="C18" i="10"/>
  <c r="C17" i="10"/>
  <c r="C13" i="10"/>
  <c r="C11" i="10"/>
  <c r="C33" i="10" s="1"/>
  <c r="C9" i="9"/>
  <c r="C15" i="9" s="1"/>
  <c r="C16" i="9" s="1"/>
  <c r="D17" i="9" s="1"/>
  <c r="D9" i="9"/>
  <c r="E9" i="9"/>
  <c r="C12" i="9"/>
  <c r="D12" i="9"/>
  <c r="E12" i="9"/>
  <c r="F12" i="9"/>
  <c r="G12" i="9"/>
  <c r="H12" i="9"/>
  <c r="I12" i="9"/>
  <c r="J12" i="9"/>
  <c r="C13" i="9"/>
  <c r="D13" i="9"/>
  <c r="D15" i="9" s="1"/>
  <c r="D16" i="9" s="1"/>
  <c r="E13" i="9"/>
  <c r="F9" i="9" s="1"/>
  <c r="E14" i="9"/>
  <c r="E15" i="9"/>
  <c r="E16" i="9" s="1"/>
  <c r="C18" i="9"/>
  <c r="C46" i="9" s="1"/>
  <c r="D18" i="9"/>
  <c r="E18" i="9"/>
  <c r="C19" i="9"/>
  <c r="D19" i="9"/>
  <c r="E19" i="9"/>
  <c r="D20" i="9"/>
  <c r="C23" i="9"/>
  <c r="D23" i="9"/>
  <c r="E23" i="9"/>
  <c r="C24" i="9"/>
  <c r="C30" i="9" s="1"/>
  <c r="D24" i="9"/>
  <c r="E24" i="9"/>
  <c r="E26" i="9" s="1"/>
  <c r="C25" i="9"/>
  <c r="D25" i="9"/>
  <c r="E25" i="9"/>
  <c r="C28" i="9"/>
  <c r="C26" i="9" s="1"/>
  <c r="D28" i="9"/>
  <c r="D26" i="9" s="1"/>
  <c r="D27" i="9" s="1"/>
  <c r="E28" i="9"/>
  <c r="C29" i="9"/>
  <c r="D29" i="9"/>
  <c r="E29" i="9"/>
  <c r="D30" i="9"/>
  <c r="C33" i="9"/>
  <c r="C39" i="9" s="1"/>
  <c r="C9" i="10" s="1"/>
  <c r="D33" i="9"/>
  <c r="D39" i="9" s="1"/>
  <c r="D9" i="10" s="1"/>
  <c r="E33" i="9"/>
  <c r="F33" i="9"/>
  <c r="G33" i="9" s="1"/>
  <c r="H33" i="9" s="1"/>
  <c r="I33" i="9" s="1"/>
  <c r="J33" i="9" s="1"/>
  <c r="E34" i="9"/>
  <c r="C43" i="9"/>
  <c r="D43" i="9"/>
  <c r="D48" i="9" s="1"/>
  <c r="E43" i="9"/>
  <c r="E64" i="9" s="1"/>
  <c r="C45" i="9"/>
  <c r="D45" i="9"/>
  <c r="E45" i="9"/>
  <c r="D46" i="9"/>
  <c r="D57" i="9"/>
  <c r="E53" i="9"/>
  <c r="C54" i="9"/>
  <c r="D54" i="9"/>
  <c r="D56" i="9" s="1"/>
  <c r="E54" i="9"/>
  <c r="C56" i="9"/>
  <c r="C60" i="9"/>
  <c r="D60" i="9"/>
  <c r="D13" i="10" s="1"/>
  <c r="E60" i="9"/>
  <c r="E61" i="9" s="1"/>
  <c r="C61" i="9"/>
  <c r="C63" i="9"/>
  <c r="D63" i="9"/>
  <c r="E63" i="9"/>
  <c r="C64" i="9"/>
  <c r="D65" i="9"/>
  <c r="C67" i="9"/>
  <c r="D67" i="9"/>
  <c r="E67" i="9"/>
  <c r="E65" i="9" s="1"/>
  <c r="E66" i="9" s="1"/>
  <c r="C68" i="9"/>
  <c r="C76" i="9" s="1"/>
  <c r="D68" i="9"/>
  <c r="D76" i="9" s="1"/>
  <c r="E68" i="9"/>
  <c r="C69" i="9"/>
  <c r="C72" i="9"/>
  <c r="C70" i="9" s="1"/>
  <c r="D72" i="9"/>
  <c r="D70" i="9" s="1"/>
  <c r="E72" i="9"/>
  <c r="E70" i="9" s="1"/>
  <c r="C73" i="9"/>
  <c r="D73" i="9"/>
  <c r="D74" i="9" s="1"/>
  <c r="E73" i="9"/>
  <c r="E74" i="9" s="1"/>
  <c r="C74" i="9"/>
  <c r="E76" i="9"/>
  <c r="C93" i="3"/>
  <c r="C82" i="7"/>
  <c r="D82" i="7"/>
  <c r="E82" i="7"/>
  <c r="E51" i="7" s="1"/>
  <c r="F82" i="7"/>
  <c r="G82" i="7"/>
  <c r="H82" i="7"/>
  <c r="I82" i="7"/>
  <c r="J82" i="7"/>
  <c r="K82" i="7"/>
  <c r="L82" i="7"/>
  <c r="M82" i="7"/>
  <c r="C81" i="7"/>
  <c r="D81" i="7"/>
  <c r="E81" i="7"/>
  <c r="E50" i="7" s="1"/>
  <c r="F81" i="7"/>
  <c r="F50" i="7" s="1"/>
  <c r="G81" i="7"/>
  <c r="G50" i="7" s="1"/>
  <c r="H81" i="7"/>
  <c r="H50" i="7" s="1"/>
  <c r="I81" i="7"/>
  <c r="J81" i="7"/>
  <c r="J50" i="7" s="1"/>
  <c r="K81" i="7"/>
  <c r="L81" i="7"/>
  <c r="M81" i="7"/>
  <c r="C80" i="7"/>
  <c r="D80" i="7"/>
  <c r="E80" i="7"/>
  <c r="F80" i="7"/>
  <c r="G80" i="7"/>
  <c r="H80" i="7"/>
  <c r="I80" i="7"/>
  <c r="I49" i="7" s="1"/>
  <c r="J80" i="7"/>
  <c r="J49" i="7" s="1"/>
  <c r="K80" i="7"/>
  <c r="L80" i="7"/>
  <c r="M80" i="7"/>
  <c r="C79" i="3"/>
  <c r="D79" i="3"/>
  <c r="E79" i="3"/>
  <c r="F79" i="3"/>
  <c r="G79" i="3"/>
  <c r="H79" i="3"/>
  <c r="I79" i="3"/>
  <c r="K79" i="3"/>
  <c r="L79" i="3"/>
  <c r="M79" i="3"/>
  <c r="C77" i="3"/>
  <c r="D77" i="3"/>
  <c r="E77" i="3"/>
  <c r="F77" i="3"/>
  <c r="G77" i="3"/>
  <c r="H77" i="3"/>
  <c r="I77" i="3"/>
  <c r="J77" i="3"/>
  <c r="K77" i="3"/>
  <c r="L77" i="3"/>
  <c r="M77" i="3"/>
  <c r="C76" i="3"/>
  <c r="D76" i="3"/>
  <c r="E76" i="3"/>
  <c r="F76" i="3"/>
  <c r="G76" i="3"/>
  <c r="H76" i="3"/>
  <c r="I76" i="3"/>
  <c r="J76" i="3"/>
  <c r="K76" i="3"/>
  <c r="L76" i="3"/>
  <c r="M76" i="3"/>
  <c r="C66" i="3"/>
  <c r="D66" i="3"/>
  <c r="E66" i="3"/>
  <c r="F66" i="3"/>
  <c r="G66" i="3"/>
  <c r="H66" i="3"/>
  <c r="I66" i="3"/>
  <c r="J66" i="3"/>
  <c r="K66" i="3"/>
  <c r="L66" i="3"/>
  <c r="M66" i="3"/>
  <c r="C55" i="3"/>
  <c r="D55" i="3"/>
  <c r="E55" i="3"/>
  <c r="F55" i="3"/>
  <c r="G55" i="3"/>
  <c r="G74" i="7" s="1"/>
  <c r="H55" i="3"/>
  <c r="H74" i="7" s="1"/>
  <c r="I55" i="3"/>
  <c r="J55" i="3"/>
  <c r="J79" i="3" s="1"/>
  <c r="K55" i="3"/>
  <c r="L55" i="3"/>
  <c r="M55" i="3"/>
  <c r="C53" i="3"/>
  <c r="D53" i="3"/>
  <c r="E53" i="3"/>
  <c r="F53" i="3"/>
  <c r="G53" i="3"/>
  <c r="H53" i="3"/>
  <c r="I53" i="3"/>
  <c r="J53" i="3"/>
  <c r="K53" i="3"/>
  <c r="L53" i="3"/>
  <c r="M53" i="3"/>
  <c r="C44" i="3"/>
  <c r="D44" i="3"/>
  <c r="E44" i="3"/>
  <c r="F44" i="3"/>
  <c r="G44" i="3"/>
  <c r="H44" i="3"/>
  <c r="I44" i="3"/>
  <c r="J44" i="3"/>
  <c r="K44" i="3"/>
  <c r="L44" i="3"/>
  <c r="M44" i="3"/>
  <c r="C73" i="7"/>
  <c r="C45" i="7" s="1"/>
  <c r="C58" i="7"/>
  <c r="C30" i="7" s="1"/>
  <c r="D58" i="7"/>
  <c r="D9" i="7" s="1"/>
  <c r="E58" i="7"/>
  <c r="E9" i="7" s="1"/>
  <c r="F58" i="7"/>
  <c r="F23" i="7" s="1"/>
  <c r="G58" i="7"/>
  <c r="G23" i="7" s="1"/>
  <c r="H58" i="7"/>
  <c r="H23" i="7" s="1"/>
  <c r="I58" i="7"/>
  <c r="I30" i="7" s="1"/>
  <c r="J58" i="7"/>
  <c r="J30" i="7" s="1"/>
  <c r="K58" i="7"/>
  <c r="K30" i="7" s="1"/>
  <c r="L58" i="7"/>
  <c r="L9" i="7" s="1"/>
  <c r="M58" i="7"/>
  <c r="M9" i="7" s="1"/>
  <c r="C59" i="7"/>
  <c r="C24" i="7" s="1"/>
  <c r="D59" i="7"/>
  <c r="D24" i="7" s="1"/>
  <c r="E59" i="7"/>
  <c r="E24" i="7" s="1"/>
  <c r="F59" i="7"/>
  <c r="F24" i="7" s="1"/>
  <c r="G59" i="7"/>
  <c r="G24" i="7" s="1"/>
  <c r="H59" i="7"/>
  <c r="H24" i="7" s="1"/>
  <c r="I59" i="7"/>
  <c r="I24" i="7" s="1"/>
  <c r="J59" i="7"/>
  <c r="J24" i="7" s="1"/>
  <c r="K59" i="7"/>
  <c r="K24" i="7" s="1"/>
  <c r="L59" i="7"/>
  <c r="L24" i="7" s="1"/>
  <c r="M59" i="7"/>
  <c r="M24" i="7" s="1"/>
  <c r="C60" i="7"/>
  <c r="C25" i="7" s="1"/>
  <c r="D60" i="7"/>
  <c r="D25" i="7" s="1"/>
  <c r="E60" i="7"/>
  <c r="E25" i="7" s="1"/>
  <c r="F60" i="7"/>
  <c r="F25" i="7" s="1"/>
  <c r="G60" i="7"/>
  <c r="G25" i="7" s="1"/>
  <c r="H60" i="7"/>
  <c r="H25" i="7" s="1"/>
  <c r="I60" i="7"/>
  <c r="I25" i="7" s="1"/>
  <c r="J60" i="7"/>
  <c r="J25" i="7" s="1"/>
  <c r="K60" i="7"/>
  <c r="K25" i="7" s="1"/>
  <c r="L60" i="7"/>
  <c r="L25" i="7" s="1"/>
  <c r="M60" i="7"/>
  <c r="M25" i="7" s="1"/>
  <c r="C61" i="7"/>
  <c r="C26" i="7" s="1"/>
  <c r="D61" i="7"/>
  <c r="D26" i="7" s="1"/>
  <c r="E61" i="7"/>
  <c r="E26" i="7" s="1"/>
  <c r="F61" i="7"/>
  <c r="F26" i="7" s="1"/>
  <c r="G61" i="7"/>
  <c r="G26" i="7" s="1"/>
  <c r="H61" i="7"/>
  <c r="H26" i="7" s="1"/>
  <c r="I61" i="7"/>
  <c r="I26" i="7" s="1"/>
  <c r="J61" i="7"/>
  <c r="J26" i="7" s="1"/>
  <c r="K61" i="7"/>
  <c r="K26" i="7" s="1"/>
  <c r="L61" i="7"/>
  <c r="L26" i="7" s="1"/>
  <c r="M61" i="7"/>
  <c r="M26" i="7" s="1"/>
  <c r="C62" i="7"/>
  <c r="D62" i="7"/>
  <c r="E62" i="7"/>
  <c r="F62" i="7"/>
  <c r="G62" i="7"/>
  <c r="H62" i="7"/>
  <c r="I62" i="7"/>
  <c r="J62" i="7"/>
  <c r="K62" i="7"/>
  <c r="L62" i="7"/>
  <c r="M62" i="7"/>
  <c r="C63" i="7"/>
  <c r="D63" i="7"/>
  <c r="E63" i="7"/>
  <c r="F63" i="7"/>
  <c r="G63" i="7"/>
  <c r="H63" i="7"/>
  <c r="I63" i="7"/>
  <c r="J63" i="7"/>
  <c r="K63" i="7"/>
  <c r="L63" i="7"/>
  <c r="M63" i="7"/>
  <c r="C64" i="7"/>
  <c r="D64" i="7"/>
  <c r="D55" i="7" s="1"/>
  <c r="E64" i="7"/>
  <c r="E55" i="7" s="1"/>
  <c r="F64" i="7"/>
  <c r="G64" i="7"/>
  <c r="G55" i="7" s="1"/>
  <c r="H64" i="7"/>
  <c r="I64" i="7"/>
  <c r="J64" i="7"/>
  <c r="K64" i="7"/>
  <c r="L64" i="7"/>
  <c r="L55" i="7" s="1"/>
  <c r="M64" i="7"/>
  <c r="M55" i="7" s="1"/>
  <c r="C65" i="7"/>
  <c r="D65" i="7"/>
  <c r="E65" i="7"/>
  <c r="F65" i="7"/>
  <c r="G65" i="7"/>
  <c r="G68" i="7" s="1"/>
  <c r="H65" i="7"/>
  <c r="I65" i="7"/>
  <c r="J65" i="7"/>
  <c r="K65" i="7"/>
  <c r="L65" i="7"/>
  <c r="M65" i="7"/>
  <c r="C66" i="7"/>
  <c r="C40" i="7" s="1"/>
  <c r="D66" i="7"/>
  <c r="D40" i="7" s="1"/>
  <c r="E66" i="7"/>
  <c r="E40" i="7" s="1"/>
  <c r="F66" i="7"/>
  <c r="F68" i="7" s="1"/>
  <c r="G66" i="7"/>
  <c r="G40" i="7" s="1"/>
  <c r="H66" i="7"/>
  <c r="H40" i="7" s="1"/>
  <c r="I66" i="7"/>
  <c r="I40" i="7" s="1"/>
  <c r="J66" i="7"/>
  <c r="J40" i="7" s="1"/>
  <c r="K66" i="7"/>
  <c r="K40" i="7" s="1"/>
  <c r="L66" i="7"/>
  <c r="L40" i="7" s="1"/>
  <c r="M66" i="7"/>
  <c r="M40" i="7" s="1"/>
  <c r="C67" i="7"/>
  <c r="D67" i="7"/>
  <c r="E67" i="7"/>
  <c r="F67" i="7"/>
  <c r="G67" i="7"/>
  <c r="H67" i="7"/>
  <c r="I67" i="7"/>
  <c r="J67" i="7"/>
  <c r="K67" i="7"/>
  <c r="L67" i="7"/>
  <c r="M67" i="7"/>
  <c r="D68" i="7"/>
  <c r="D29" i="7" s="1"/>
  <c r="E68" i="7"/>
  <c r="E35" i="7" s="1"/>
  <c r="L68" i="7"/>
  <c r="L29" i="7" s="1"/>
  <c r="M68" i="7"/>
  <c r="M35" i="7" s="1"/>
  <c r="C71" i="7"/>
  <c r="C36" i="7" s="1"/>
  <c r="D71" i="7"/>
  <c r="D36" i="7" s="1"/>
  <c r="E71" i="7"/>
  <c r="E36" i="7" s="1"/>
  <c r="F71" i="7"/>
  <c r="F31" i="7" s="1"/>
  <c r="G71" i="7"/>
  <c r="G31" i="7" s="1"/>
  <c r="H71" i="7"/>
  <c r="H31" i="7" s="1"/>
  <c r="I71" i="7"/>
  <c r="I31" i="7" s="1"/>
  <c r="J71" i="7"/>
  <c r="J36" i="7" s="1"/>
  <c r="K71" i="7"/>
  <c r="K36" i="7" s="1"/>
  <c r="L71" i="7"/>
  <c r="L36" i="7" s="1"/>
  <c r="M71" i="7"/>
  <c r="M36" i="7" s="1"/>
  <c r="C72" i="7"/>
  <c r="D72" i="7"/>
  <c r="E72" i="7"/>
  <c r="F72" i="7"/>
  <c r="G72" i="7"/>
  <c r="H72" i="7"/>
  <c r="I72" i="7"/>
  <c r="J72" i="7"/>
  <c r="K72" i="7"/>
  <c r="L72" i="7"/>
  <c r="M72" i="7"/>
  <c r="D73" i="7"/>
  <c r="D45" i="7" s="1"/>
  <c r="E73" i="7"/>
  <c r="F73" i="7"/>
  <c r="G73" i="7"/>
  <c r="H73" i="7"/>
  <c r="H45" i="7" s="1"/>
  <c r="I73" i="7"/>
  <c r="I45" i="7" s="1"/>
  <c r="J73" i="7"/>
  <c r="J45" i="7" s="1"/>
  <c r="K73" i="7"/>
  <c r="K45" i="7" s="1"/>
  <c r="L73" i="7"/>
  <c r="L45" i="7" s="1"/>
  <c r="C74" i="7"/>
  <c r="D74" i="7"/>
  <c r="E74" i="7"/>
  <c r="K74" i="7"/>
  <c r="L74" i="7"/>
  <c r="M74" i="7"/>
  <c r="C75" i="7"/>
  <c r="D37" i="7" s="1"/>
  <c r="D75" i="7"/>
  <c r="E37" i="7" s="1"/>
  <c r="E75" i="7"/>
  <c r="F37" i="7" s="1"/>
  <c r="F75" i="7"/>
  <c r="G37" i="7" s="1"/>
  <c r="G75" i="7"/>
  <c r="H37" i="7" s="1"/>
  <c r="H75" i="7"/>
  <c r="I37" i="7" s="1"/>
  <c r="I75" i="7"/>
  <c r="J37" i="7" s="1"/>
  <c r="J75" i="7"/>
  <c r="K37" i="7" s="1"/>
  <c r="K75" i="7"/>
  <c r="L37" i="7" s="1"/>
  <c r="L75" i="7"/>
  <c r="M37" i="7" s="1"/>
  <c r="M75" i="7"/>
  <c r="C76" i="7"/>
  <c r="D76" i="7"/>
  <c r="E76" i="7"/>
  <c r="F76" i="7"/>
  <c r="G76" i="7"/>
  <c r="H76" i="7"/>
  <c r="I76" i="7"/>
  <c r="J76" i="7"/>
  <c r="K76" i="7"/>
  <c r="L76" i="7"/>
  <c r="M76" i="7"/>
  <c r="C77" i="7"/>
  <c r="D77" i="7"/>
  <c r="E77" i="7"/>
  <c r="F77" i="7"/>
  <c r="G77" i="7"/>
  <c r="H77" i="7"/>
  <c r="I77" i="7"/>
  <c r="J77" i="7"/>
  <c r="K77" i="7"/>
  <c r="L77" i="7"/>
  <c r="M77" i="7"/>
  <c r="C78" i="7"/>
  <c r="D78" i="7"/>
  <c r="D51" i="7" s="1"/>
  <c r="E78" i="7"/>
  <c r="F78" i="7"/>
  <c r="F51" i="7" s="1"/>
  <c r="G78" i="7"/>
  <c r="H78" i="7"/>
  <c r="I78" i="7"/>
  <c r="J78" i="7"/>
  <c r="K78" i="7"/>
  <c r="L78" i="7"/>
  <c r="L51" i="7" s="1"/>
  <c r="M78" i="7"/>
  <c r="C79" i="7"/>
  <c r="D79" i="7"/>
  <c r="E79" i="7"/>
  <c r="F79" i="7"/>
  <c r="G79" i="7"/>
  <c r="H79" i="7"/>
  <c r="I79" i="7"/>
  <c r="J79" i="7"/>
  <c r="K79" i="7"/>
  <c r="L79" i="7"/>
  <c r="M79" i="7"/>
  <c r="C49" i="7"/>
  <c r="D49" i="7"/>
  <c r="E49" i="7"/>
  <c r="F49" i="7"/>
  <c r="G49" i="7"/>
  <c r="H49" i="7"/>
  <c r="K49" i="7"/>
  <c r="L49" i="7"/>
  <c r="M49" i="7"/>
  <c r="C50" i="7"/>
  <c r="D50" i="7"/>
  <c r="K50" i="7"/>
  <c r="L50" i="7"/>
  <c r="M50" i="7"/>
  <c r="C87" i="7"/>
  <c r="D87" i="7"/>
  <c r="D11" i="7" s="1"/>
  <c r="E87" i="7"/>
  <c r="E11" i="7" s="1"/>
  <c r="F87" i="7"/>
  <c r="F11" i="7" s="1"/>
  <c r="G87" i="7"/>
  <c r="G11" i="7" s="1"/>
  <c r="H87" i="7"/>
  <c r="H11" i="7" s="1"/>
  <c r="I87" i="7"/>
  <c r="I11" i="7" s="1"/>
  <c r="J87" i="7"/>
  <c r="J11" i="7" s="1"/>
  <c r="K87" i="7"/>
  <c r="K11" i="7" s="1"/>
  <c r="L87" i="7"/>
  <c r="L11" i="7" s="1"/>
  <c r="M87" i="7"/>
  <c r="M11" i="7" s="1"/>
  <c r="C88" i="7"/>
  <c r="D88" i="7"/>
  <c r="D12" i="7" s="1"/>
  <c r="E88" i="7"/>
  <c r="E12" i="7" s="1"/>
  <c r="F88" i="7"/>
  <c r="F12" i="7" s="1"/>
  <c r="G88" i="7"/>
  <c r="G12" i="7" s="1"/>
  <c r="H88" i="7"/>
  <c r="H12" i="7" s="1"/>
  <c r="I88" i="7"/>
  <c r="I12" i="7" s="1"/>
  <c r="J88" i="7"/>
  <c r="J12" i="7" s="1"/>
  <c r="K88" i="7"/>
  <c r="K12" i="7" s="1"/>
  <c r="L88" i="7"/>
  <c r="L12" i="7" s="1"/>
  <c r="M88" i="7"/>
  <c r="M12" i="7" s="1"/>
  <c r="C89" i="7"/>
  <c r="D89" i="7"/>
  <c r="D10" i="7" s="1"/>
  <c r="E89" i="7"/>
  <c r="E10" i="7" s="1"/>
  <c r="F89" i="7"/>
  <c r="F10" i="7" s="1"/>
  <c r="G89" i="7"/>
  <c r="G10" i="7" s="1"/>
  <c r="H89" i="7"/>
  <c r="H10" i="7" s="1"/>
  <c r="I89" i="7"/>
  <c r="I10" i="7" s="1"/>
  <c r="J89" i="7"/>
  <c r="J10" i="7" s="1"/>
  <c r="K89" i="7"/>
  <c r="K10" i="7" s="1"/>
  <c r="L89" i="7"/>
  <c r="L10" i="7" s="1"/>
  <c r="M89" i="7"/>
  <c r="M10" i="7" s="1"/>
  <c r="C90" i="7"/>
  <c r="D90" i="7"/>
  <c r="D13" i="7" s="1"/>
  <c r="E90" i="7"/>
  <c r="E13" i="7" s="1"/>
  <c r="F90" i="7"/>
  <c r="F13" i="7" s="1"/>
  <c r="G90" i="7"/>
  <c r="G13" i="7" s="1"/>
  <c r="H90" i="7"/>
  <c r="H13" i="7" s="1"/>
  <c r="I90" i="7"/>
  <c r="I13" i="7" s="1"/>
  <c r="J90" i="7"/>
  <c r="J13" i="7" s="1"/>
  <c r="K90" i="7"/>
  <c r="K13" i="7" s="1"/>
  <c r="L90" i="7"/>
  <c r="L13" i="7" s="1"/>
  <c r="M90" i="7"/>
  <c r="M13" i="7" s="1"/>
  <c r="C91" i="7"/>
  <c r="D91" i="7"/>
  <c r="D14" i="7" s="1"/>
  <c r="E91" i="7"/>
  <c r="E14" i="7" s="1"/>
  <c r="F91" i="7"/>
  <c r="F14" i="7" s="1"/>
  <c r="G91" i="7"/>
  <c r="G14" i="7" s="1"/>
  <c r="H91" i="7"/>
  <c r="H14" i="7" s="1"/>
  <c r="I91" i="7"/>
  <c r="I14" i="7" s="1"/>
  <c r="J91" i="7"/>
  <c r="J14" i="7" s="1"/>
  <c r="K91" i="7"/>
  <c r="K14" i="7" s="1"/>
  <c r="L91" i="7"/>
  <c r="L14" i="7" s="1"/>
  <c r="M91" i="7"/>
  <c r="M14" i="7" s="1"/>
  <c r="C92" i="7"/>
  <c r="D92" i="7"/>
  <c r="D15" i="7" s="1"/>
  <c r="E92" i="7"/>
  <c r="E15" i="7" s="1"/>
  <c r="F92" i="7"/>
  <c r="F15" i="7" s="1"/>
  <c r="G92" i="7"/>
  <c r="G15" i="7" s="1"/>
  <c r="H92" i="7"/>
  <c r="H15" i="7" s="1"/>
  <c r="I92" i="7"/>
  <c r="I15" i="7" s="1"/>
  <c r="J92" i="7"/>
  <c r="J15" i="7" s="1"/>
  <c r="K92" i="7"/>
  <c r="K15" i="7" s="1"/>
  <c r="L92" i="7"/>
  <c r="L15" i="7" s="1"/>
  <c r="M92" i="7"/>
  <c r="M15" i="7" s="1"/>
  <c r="C93" i="7"/>
  <c r="C18" i="7" s="1"/>
  <c r="D93" i="7"/>
  <c r="D18" i="7" s="1"/>
  <c r="E93" i="7"/>
  <c r="E18" i="7" s="1"/>
  <c r="F93" i="7"/>
  <c r="F18" i="7" s="1"/>
  <c r="G93" i="7"/>
  <c r="G18" i="7" s="1"/>
  <c r="H93" i="7"/>
  <c r="H18" i="7" s="1"/>
  <c r="I93" i="7"/>
  <c r="I18" i="7" s="1"/>
  <c r="J93" i="7"/>
  <c r="J18" i="7" s="1"/>
  <c r="K93" i="7"/>
  <c r="K18" i="7" s="1"/>
  <c r="L93" i="7"/>
  <c r="L18" i="7" s="1"/>
  <c r="M93" i="7"/>
  <c r="M18" i="7" s="1"/>
  <c r="C94" i="7"/>
  <c r="C19" i="7" s="1"/>
  <c r="D94" i="7"/>
  <c r="D19" i="7" s="1"/>
  <c r="E94" i="7"/>
  <c r="E19" i="7" s="1"/>
  <c r="F94" i="7"/>
  <c r="F19" i="7" s="1"/>
  <c r="G94" i="7"/>
  <c r="G19" i="7" s="1"/>
  <c r="H94" i="7"/>
  <c r="H19" i="7" s="1"/>
  <c r="I94" i="7"/>
  <c r="I19" i="7" s="1"/>
  <c r="J94" i="7"/>
  <c r="J19" i="7" s="1"/>
  <c r="K94" i="7"/>
  <c r="K19" i="7" s="1"/>
  <c r="L94" i="7"/>
  <c r="L19" i="7" s="1"/>
  <c r="M94" i="7"/>
  <c r="M19" i="7" s="1"/>
  <c r="C95" i="7"/>
  <c r="C20" i="7" s="1"/>
  <c r="D95" i="7"/>
  <c r="D20" i="7" s="1"/>
  <c r="E95" i="7"/>
  <c r="E20" i="7" s="1"/>
  <c r="F95" i="7"/>
  <c r="F20" i="7" s="1"/>
  <c r="G95" i="7"/>
  <c r="G20" i="7" s="1"/>
  <c r="H95" i="7"/>
  <c r="H20" i="7" s="1"/>
  <c r="I95" i="7"/>
  <c r="I20" i="7" s="1"/>
  <c r="J95" i="7"/>
  <c r="J20" i="7" s="1"/>
  <c r="K95" i="7"/>
  <c r="K20" i="7" s="1"/>
  <c r="L95" i="7"/>
  <c r="L20" i="7" s="1"/>
  <c r="M95" i="7"/>
  <c r="M20" i="7" s="1"/>
  <c r="C96" i="7"/>
  <c r="C21" i="7" s="1"/>
  <c r="D96" i="7"/>
  <c r="D21" i="7" s="1"/>
  <c r="E96" i="7"/>
  <c r="E21" i="7" s="1"/>
  <c r="F96" i="7"/>
  <c r="F21" i="7" s="1"/>
  <c r="G96" i="7"/>
  <c r="G21" i="7" s="1"/>
  <c r="H96" i="7"/>
  <c r="H21" i="7" s="1"/>
  <c r="I96" i="7"/>
  <c r="I21" i="7" s="1"/>
  <c r="J96" i="7"/>
  <c r="J21" i="7" s="1"/>
  <c r="K96" i="7"/>
  <c r="K21" i="7" s="1"/>
  <c r="L96" i="7"/>
  <c r="L21" i="7" s="1"/>
  <c r="M96" i="7"/>
  <c r="M21" i="7" s="1"/>
  <c r="C97" i="7"/>
  <c r="C22" i="7" s="1"/>
  <c r="D97" i="7"/>
  <c r="D22" i="7" s="1"/>
  <c r="E97" i="7"/>
  <c r="E22" i="7" s="1"/>
  <c r="F97" i="7"/>
  <c r="F22" i="7" s="1"/>
  <c r="G97" i="7"/>
  <c r="G22" i="7" s="1"/>
  <c r="H97" i="7"/>
  <c r="H22" i="7" s="1"/>
  <c r="I97" i="7"/>
  <c r="I22" i="7" s="1"/>
  <c r="J97" i="7"/>
  <c r="J22" i="7" s="1"/>
  <c r="K97" i="7"/>
  <c r="K22" i="7" s="1"/>
  <c r="L97" i="7"/>
  <c r="L22" i="7" s="1"/>
  <c r="M97" i="7"/>
  <c r="M22" i="7" s="1"/>
  <c r="C11" i="4"/>
  <c r="D11" i="4"/>
  <c r="E11" i="4"/>
  <c r="F11" i="4"/>
  <c r="G11" i="4"/>
  <c r="H11" i="4"/>
  <c r="I11" i="4"/>
  <c r="J11" i="4"/>
  <c r="K11" i="4"/>
  <c r="L11" i="4"/>
  <c r="M11" i="4"/>
  <c r="C19" i="4"/>
  <c r="D19" i="4"/>
  <c r="E19" i="4"/>
  <c r="F19" i="4"/>
  <c r="G19" i="4"/>
  <c r="H19" i="4"/>
  <c r="I19" i="4"/>
  <c r="J19" i="4"/>
  <c r="K19" i="4"/>
  <c r="L19" i="4"/>
  <c r="M19" i="4"/>
  <c r="D23" i="4"/>
  <c r="E23" i="4"/>
  <c r="F23" i="4"/>
  <c r="G23" i="4"/>
  <c r="H23" i="4"/>
  <c r="I23" i="4"/>
  <c r="J23" i="4"/>
  <c r="K23" i="4"/>
  <c r="L23" i="4"/>
  <c r="M23" i="4"/>
  <c r="C27" i="4"/>
  <c r="D27" i="4"/>
  <c r="E27" i="4"/>
  <c r="F27" i="4"/>
  <c r="G27" i="4"/>
  <c r="H27" i="4"/>
  <c r="I27" i="4"/>
  <c r="J27" i="4"/>
  <c r="K27" i="4"/>
  <c r="L27" i="4"/>
  <c r="M27" i="4"/>
  <c r="D104" i="3"/>
  <c r="C104" i="3"/>
  <c r="L110" i="3"/>
  <c r="D110" i="3"/>
  <c r="C110" i="3"/>
  <c r="D108" i="3"/>
  <c r="E108" i="3"/>
  <c r="F108" i="3"/>
  <c r="G108" i="3"/>
  <c r="H108" i="3"/>
  <c r="I108" i="3"/>
  <c r="I110" i="3" s="1"/>
  <c r="J108" i="3"/>
  <c r="J110" i="3" s="1"/>
  <c r="K108" i="3"/>
  <c r="K110" i="3" s="1"/>
  <c r="L108" i="3"/>
  <c r="M108" i="3"/>
  <c r="C109" i="3"/>
  <c r="D109" i="3"/>
  <c r="E109" i="3"/>
  <c r="F109" i="3"/>
  <c r="F110" i="3" s="1"/>
  <c r="G109" i="3"/>
  <c r="G110" i="3" s="1"/>
  <c r="H109" i="3"/>
  <c r="I109" i="3"/>
  <c r="J109" i="3"/>
  <c r="K109" i="3"/>
  <c r="L109" i="3"/>
  <c r="M109" i="3"/>
  <c r="C10" i="3"/>
  <c r="C30" i="3" s="1"/>
  <c r="D10" i="3"/>
  <c r="D30" i="3" s="1"/>
  <c r="E10" i="3"/>
  <c r="E30" i="3" s="1"/>
  <c r="F10" i="3"/>
  <c r="G10" i="3"/>
  <c r="H10" i="3"/>
  <c r="I10" i="3"/>
  <c r="I30" i="3" s="1"/>
  <c r="J10" i="3"/>
  <c r="J30" i="3" s="1"/>
  <c r="K10" i="3"/>
  <c r="K30" i="3" s="1"/>
  <c r="L10" i="3"/>
  <c r="L30" i="3" s="1"/>
  <c r="M10" i="3"/>
  <c r="M30" i="3" s="1"/>
  <c r="C29" i="3"/>
  <c r="D29" i="3"/>
  <c r="E29" i="3"/>
  <c r="F29" i="3"/>
  <c r="G29" i="3"/>
  <c r="H29" i="3"/>
  <c r="I29" i="3"/>
  <c r="J29" i="3"/>
  <c r="K29" i="3"/>
  <c r="L29" i="3"/>
  <c r="M29" i="3"/>
  <c r="F30" i="3"/>
  <c r="G30" i="3"/>
  <c r="H30" i="3"/>
  <c r="C88" i="3"/>
  <c r="D88" i="3"/>
  <c r="E88" i="3"/>
  <c r="F88" i="3"/>
  <c r="G88" i="3"/>
  <c r="H88" i="3"/>
  <c r="I88" i="3"/>
  <c r="J88" i="3"/>
  <c r="K88" i="3"/>
  <c r="L88" i="3"/>
  <c r="M88" i="3"/>
  <c r="D93" i="3"/>
  <c r="E93" i="3"/>
  <c r="F93" i="3"/>
  <c r="G93" i="3"/>
  <c r="H93" i="3"/>
  <c r="I93" i="3"/>
  <c r="J93" i="3"/>
  <c r="K93" i="3"/>
  <c r="L93" i="3"/>
  <c r="M93" i="3"/>
  <c r="M73" i="7" s="1"/>
  <c r="C96" i="3"/>
  <c r="D96" i="3"/>
  <c r="E96" i="3"/>
  <c r="F96" i="3"/>
  <c r="G96" i="3"/>
  <c r="H96" i="3"/>
  <c r="I96" i="3"/>
  <c r="J96" i="3"/>
  <c r="K96" i="3"/>
  <c r="L96" i="3"/>
  <c r="M96" i="3"/>
  <c r="E104" i="3"/>
  <c r="F104" i="3"/>
  <c r="G104" i="3"/>
  <c r="H104" i="3"/>
  <c r="I104" i="3"/>
  <c r="J104" i="3"/>
  <c r="K104" i="3"/>
  <c r="L104" i="3"/>
  <c r="M104" i="3"/>
  <c r="E16" i="12" l="1"/>
  <c r="C11" i="23"/>
  <c r="D38" i="9"/>
  <c r="E17" i="12"/>
  <c r="E68" i="11"/>
  <c r="G10" i="14"/>
  <c r="C10" i="14"/>
  <c r="D10" i="14"/>
  <c r="E27" i="9"/>
  <c r="F26" i="9"/>
  <c r="G26" i="9" s="1"/>
  <c r="H26" i="9" s="1"/>
  <c r="I26" i="9" s="1"/>
  <c r="J26" i="9" s="1"/>
  <c r="E13" i="10"/>
  <c r="D55" i="9"/>
  <c r="C53" i="9"/>
  <c r="C58" i="9" s="1"/>
  <c r="C77" i="9" s="1"/>
  <c r="E46" i="9"/>
  <c r="D14" i="9"/>
  <c r="C65" i="9"/>
  <c r="D66" i="9" s="1"/>
  <c r="E55" i="9"/>
  <c r="E48" i="9"/>
  <c r="E12" i="10" s="1"/>
  <c r="C40" i="9"/>
  <c r="C14" i="9"/>
  <c r="C39" i="10"/>
  <c r="D71" i="9"/>
  <c r="E69" i="9"/>
  <c r="C14" i="10"/>
  <c r="E20" i="9"/>
  <c r="E30" i="9"/>
  <c r="E11" i="10"/>
  <c r="C20" i="9"/>
  <c r="D53" i="9"/>
  <c r="D58" i="9" s="1"/>
  <c r="E52" i="9"/>
  <c r="D11" i="10"/>
  <c r="F13" i="9"/>
  <c r="F15" i="9"/>
  <c r="E17" i="9"/>
  <c r="F16" i="9"/>
  <c r="G16" i="9" s="1"/>
  <c r="H16" i="9" s="1"/>
  <c r="I16" i="9" s="1"/>
  <c r="J16" i="9" s="1"/>
  <c r="D47" i="9"/>
  <c r="F70" i="9"/>
  <c r="G70" i="9" s="1"/>
  <c r="H70" i="9" s="1"/>
  <c r="I70" i="9" s="1"/>
  <c r="J70" i="9" s="1"/>
  <c r="E71" i="9"/>
  <c r="D34" i="9"/>
  <c r="E57" i="9"/>
  <c r="E38" i="9" s="1"/>
  <c r="E56" i="9"/>
  <c r="E58" i="9" s="1"/>
  <c r="D69" i="9"/>
  <c r="F65" i="9"/>
  <c r="G65" i="9" s="1"/>
  <c r="H65" i="9" s="1"/>
  <c r="I65" i="9" s="1"/>
  <c r="J65" i="9" s="1"/>
  <c r="D61" i="9"/>
  <c r="F54" i="9"/>
  <c r="G54" i="9" s="1"/>
  <c r="H54" i="9" s="1"/>
  <c r="I54" i="9" s="1"/>
  <c r="J54" i="9" s="1"/>
  <c r="C57" i="9"/>
  <c r="C38" i="9" s="1"/>
  <c r="D64" i="9"/>
  <c r="F51" i="9"/>
  <c r="E39" i="9"/>
  <c r="E9" i="10" s="1"/>
  <c r="D52" i="9"/>
  <c r="D40" i="9"/>
  <c r="J51" i="7"/>
  <c r="I74" i="7"/>
  <c r="J74" i="7"/>
  <c r="K39" i="7" s="1"/>
  <c r="F74" i="7"/>
  <c r="H83" i="7"/>
  <c r="H52" i="7" s="1"/>
  <c r="G83" i="7"/>
  <c r="G84" i="7" s="1"/>
  <c r="G53" i="7" s="1"/>
  <c r="I51" i="7"/>
  <c r="I83" i="7"/>
  <c r="I52" i="7" s="1"/>
  <c r="M51" i="7"/>
  <c r="K83" i="7"/>
  <c r="K52" i="7" s="1"/>
  <c r="K51" i="7"/>
  <c r="C51" i="7"/>
  <c r="C83" i="7"/>
  <c r="C52" i="7" s="1"/>
  <c r="M44" i="7"/>
  <c r="E44" i="7"/>
  <c r="H55" i="7"/>
  <c r="F55" i="7"/>
  <c r="L44" i="7"/>
  <c r="F35" i="7"/>
  <c r="F29" i="7"/>
  <c r="F69" i="7"/>
  <c r="G35" i="7"/>
  <c r="G29" i="7"/>
  <c r="G69" i="7"/>
  <c r="J55" i="7"/>
  <c r="H84" i="7"/>
  <c r="H53" i="7" s="1"/>
  <c r="F83" i="7"/>
  <c r="K68" i="7"/>
  <c r="K55" i="7" s="1"/>
  <c r="C68" i="7"/>
  <c r="G45" i="7"/>
  <c r="I36" i="7"/>
  <c r="L35" i="7"/>
  <c r="D35" i="7"/>
  <c r="M31" i="7"/>
  <c r="E31" i="7"/>
  <c r="H30" i="7"/>
  <c r="M23" i="7"/>
  <c r="E23" i="7"/>
  <c r="K9" i="7"/>
  <c r="M83" i="7"/>
  <c r="E83" i="7"/>
  <c r="J68" i="7"/>
  <c r="F45" i="7"/>
  <c r="J39" i="7"/>
  <c r="H36" i="7"/>
  <c r="L31" i="7"/>
  <c r="D31" i="7"/>
  <c r="G30" i="7"/>
  <c r="L23" i="7"/>
  <c r="D23" i="7"/>
  <c r="J9" i="7"/>
  <c r="L83" i="7"/>
  <c r="D83" i="7"/>
  <c r="I68" i="7"/>
  <c r="M45" i="7"/>
  <c r="E45" i="7"/>
  <c r="F40" i="7"/>
  <c r="I39" i="7"/>
  <c r="G36" i="7"/>
  <c r="K31" i="7"/>
  <c r="C31" i="7"/>
  <c r="F30" i="7"/>
  <c r="K23" i="7"/>
  <c r="C23" i="7"/>
  <c r="I9" i="7"/>
  <c r="M69" i="7"/>
  <c r="E69" i="7"/>
  <c r="H68" i="7"/>
  <c r="H51" i="7"/>
  <c r="G44" i="7"/>
  <c r="H39" i="7"/>
  <c r="F36" i="7"/>
  <c r="J31" i="7"/>
  <c r="M30" i="7"/>
  <c r="E30" i="7"/>
  <c r="J23" i="7"/>
  <c r="H9" i="7"/>
  <c r="J83" i="7"/>
  <c r="L69" i="7"/>
  <c r="D69" i="7"/>
  <c r="G51" i="7"/>
  <c r="F44" i="7"/>
  <c r="G39" i="7"/>
  <c r="L30" i="7"/>
  <c r="D30" i="7"/>
  <c r="I23" i="7"/>
  <c r="G9" i="7"/>
  <c r="I50" i="7"/>
  <c r="F39" i="7"/>
  <c r="F9" i="7"/>
  <c r="M39" i="7"/>
  <c r="E39" i="7"/>
  <c r="M29" i="7"/>
  <c r="E29" i="7"/>
  <c r="L39" i="7"/>
  <c r="D39" i="7"/>
  <c r="M110" i="3"/>
  <c r="H110" i="3"/>
  <c r="E110" i="3"/>
  <c r="C59" i="9" l="1"/>
  <c r="D77" i="9"/>
  <c r="D59" i="9"/>
  <c r="D62" i="9" s="1"/>
  <c r="D75" i="9" s="1"/>
  <c r="C41" i="9"/>
  <c r="C10" i="10"/>
  <c r="E39" i="10"/>
  <c r="E14" i="10"/>
  <c r="E33" i="10"/>
  <c r="C47" i="9"/>
  <c r="D39" i="10"/>
  <c r="D14" i="10"/>
  <c r="D33" i="10"/>
  <c r="C22" i="10"/>
  <c r="C48" i="10"/>
  <c r="D41" i="9"/>
  <c r="D42" i="9" s="1"/>
  <c r="D10" i="10"/>
  <c r="E59" i="9"/>
  <c r="E77" i="9"/>
  <c r="C62" i="9"/>
  <c r="C75" i="9" s="1"/>
  <c r="G51" i="9"/>
  <c r="F57" i="9"/>
  <c r="F38" i="9" s="1"/>
  <c r="F18" i="9"/>
  <c r="E40" i="9"/>
  <c r="F14" i="9"/>
  <c r="G9" i="9"/>
  <c r="F20" i="9"/>
  <c r="K84" i="7"/>
  <c r="K53" i="7" s="1"/>
  <c r="G52" i="7"/>
  <c r="I84" i="7"/>
  <c r="I53" i="7" s="1"/>
  <c r="C84" i="7"/>
  <c r="C53" i="7" s="1"/>
  <c r="C69" i="7"/>
  <c r="C35" i="7"/>
  <c r="C29" i="7"/>
  <c r="M84" i="7"/>
  <c r="M53" i="7" s="1"/>
  <c r="M52" i="7"/>
  <c r="E34" i="7"/>
  <c r="E28" i="7"/>
  <c r="E70" i="7"/>
  <c r="C55" i="7"/>
  <c r="D34" i="7"/>
  <c r="D28" i="7"/>
  <c r="D70" i="7"/>
  <c r="M34" i="7"/>
  <c r="M28" i="7"/>
  <c r="M70" i="7"/>
  <c r="I69" i="7"/>
  <c r="I35" i="7"/>
  <c r="I29" i="7"/>
  <c r="I55" i="7"/>
  <c r="J52" i="7"/>
  <c r="J84" i="7"/>
  <c r="J53" i="7" s="1"/>
  <c r="L84" i="7"/>
  <c r="L53" i="7" s="1"/>
  <c r="L52" i="7"/>
  <c r="K69" i="7"/>
  <c r="K35" i="7"/>
  <c r="K29" i="7"/>
  <c r="J69" i="7"/>
  <c r="J35" i="7"/>
  <c r="J29" i="7"/>
  <c r="F52" i="7"/>
  <c r="F84" i="7"/>
  <c r="F53" i="7" s="1"/>
  <c r="G28" i="7"/>
  <c r="G70" i="7"/>
  <c r="G34" i="7"/>
  <c r="E84" i="7"/>
  <c r="E53" i="7" s="1"/>
  <c r="E52" i="7"/>
  <c r="H35" i="7"/>
  <c r="H29" i="7"/>
  <c r="H69" i="7"/>
  <c r="L34" i="7"/>
  <c r="L28" i="7"/>
  <c r="L70" i="7"/>
  <c r="D84" i="7"/>
  <c r="D53" i="7" s="1"/>
  <c r="D52" i="7"/>
  <c r="F70" i="7"/>
  <c r="F34" i="7"/>
  <c r="F28" i="7"/>
  <c r="D44" i="7"/>
  <c r="E41" i="9" l="1"/>
  <c r="E10" i="10"/>
  <c r="E22" i="10"/>
  <c r="E48" i="10"/>
  <c r="C23" i="10"/>
  <c r="C24" i="10" s="1"/>
  <c r="E47" i="9"/>
  <c r="D48" i="10"/>
  <c r="D22" i="10"/>
  <c r="H51" i="9"/>
  <c r="G57" i="9"/>
  <c r="G38" i="9" s="1"/>
  <c r="F72" i="9"/>
  <c r="F18" i="10" s="1"/>
  <c r="F67" i="9"/>
  <c r="F20" i="10" s="1"/>
  <c r="F56" i="9"/>
  <c r="F19" i="10" s="1"/>
  <c r="F24" i="9"/>
  <c r="F19" i="9"/>
  <c r="F53" i="9"/>
  <c r="G13" i="9"/>
  <c r="G15" i="9"/>
  <c r="G18" i="9" s="1"/>
  <c r="E42" i="9"/>
  <c r="F41" i="9"/>
  <c r="G41" i="9" s="1"/>
  <c r="H41" i="9" s="1"/>
  <c r="I41" i="9" s="1"/>
  <c r="J41" i="9" s="1"/>
  <c r="E62" i="9"/>
  <c r="E75" i="9" s="1"/>
  <c r="F56" i="7"/>
  <c r="F33" i="7"/>
  <c r="F54" i="7"/>
  <c r="F27" i="7"/>
  <c r="K34" i="7"/>
  <c r="K28" i="7"/>
  <c r="K70" i="7"/>
  <c r="K44" i="7"/>
  <c r="I34" i="7"/>
  <c r="I28" i="7"/>
  <c r="I70" i="7"/>
  <c r="I44" i="7"/>
  <c r="L33" i="7"/>
  <c r="L54" i="7"/>
  <c r="L27" i="7"/>
  <c r="L56" i="7"/>
  <c r="M56" i="7"/>
  <c r="M33" i="7"/>
  <c r="M54" i="7"/>
  <c r="M27" i="7"/>
  <c r="J34" i="7"/>
  <c r="J28" i="7"/>
  <c r="J70" i="7"/>
  <c r="J44" i="7"/>
  <c r="E56" i="7"/>
  <c r="E33" i="7"/>
  <c r="E54" i="7"/>
  <c r="E27" i="7"/>
  <c r="H34" i="7"/>
  <c r="H28" i="7"/>
  <c r="H70" i="7"/>
  <c r="H44" i="7"/>
  <c r="G56" i="7"/>
  <c r="G33" i="7"/>
  <c r="G54" i="7"/>
  <c r="G27" i="7"/>
  <c r="D33" i="7"/>
  <c r="D54" i="7"/>
  <c r="D27" i="7"/>
  <c r="D56" i="7"/>
  <c r="C34" i="7"/>
  <c r="C28" i="7"/>
  <c r="C70" i="7"/>
  <c r="C44" i="7"/>
  <c r="C26" i="10" l="1"/>
  <c r="C25" i="10"/>
  <c r="E23" i="10"/>
  <c r="E24" i="10" s="1"/>
  <c r="D23" i="10"/>
  <c r="D24" i="10" s="1"/>
  <c r="F58" i="9"/>
  <c r="F77" i="9" s="1"/>
  <c r="F17" i="10"/>
  <c r="F21" i="10" s="1"/>
  <c r="F28" i="9"/>
  <c r="F30" i="9"/>
  <c r="F39" i="9"/>
  <c r="F9" i="10" s="1"/>
  <c r="F25" i="9"/>
  <c r="G24" i="9"/>
  <c r="G72" i="9"/>
  <c r="G18" i="10" s="1"/>
  <c r="G19" i="9"/>
  <c r="G53" i="9"/>
  <c r="G56" i="9"/>
  <c r="G67" i="9"/>
  <c r="G20" i="10" s="1"/>
  <c r="G14" i="9"/>
  <c r="H9" i="9"/>
  <c r="G20" i="9"/>
  <c r="H57" i="9"/>
  <c r="H38" i="9" s="1"/>
  <c r="I51" i="9"/>
  <c r="J27" i="7"/>
  <c r="J56" i="7"/>
  <c r="J33" i="7"/>
  <c r="J54" i="7"/>
  <c r="K33" i="7"/>
  <c r="K54" i="7"/>
  <c r="K27" i="7"/>
  <c r="K56" i="7"/>
  <c r="C33" i="7"/>
  <c r="C54" i="7"/>
  <c r="C27" i="7"/>
  <c r="C56" i="7"/>
  <c r="H56" i="7"/>
  <c r="H33" i="7"/>
  <c r="H54" i="7"/>
  <c r="H27" i="7"/>
  <c r="I56" i="7"/>
  <c r="I33" i="7"/>
  <c r="I54" i="7"/>
  <c r="I27" i="7"/>
  <c r="D26" i="10" l="1"/>
  <c r="D25" i="10"/>
  <c r="E26" i="10"/>
  <c r="E25" i="10"/>
  <c r="G19" i="10"/>
  <c r="G58" i="9"/>
  <c r="G77" i="9" s="1"/>
  <c r="G17" i="10"/>
  <c r="C27" i="10"/>
  <c r="C28" i="10"/>
  <c r="I57" i="9"/>
  <c r="I38" i="9" s="1"/>
  <c r="J51" i="9"/>
  <c r="G25" i="9"/>
  <c r="G28" i="9"/>
  <c r="G30" i="9"/>
  <c r="G39" i="9"/>
  <c r="G9" i="10" s="1"/>
  <c r="H13" i="9"/>
  <c r="H15" i="9"/>
  <c r="H18" i="9" s="1"/>
  <c r="F29" i="9"/>
  <c r="F40" i="9"/>
  <c r="J57" i="9" l="1"/>
  <c r="J38" i="9" s="1"/>
  <c r="C29" i="10"/>
  <c r="E27" i="10"/>
  <c r="E28" i="10"/>
  <c r="F43" i="9"/>
  <c r="F11" i="10" s="1"/>
  <c r="F10" i="10"/>
  <c r="G21" i="10"/>
  <c r="D28" i="10"/>
  <c r="D27" i="10"/>
  <c r="F48" i="9"/>
  <c r="F12" i="10" s="1"/>
  <c r="F47" i="9"/>
  <c r="H14" i="9"/>
  <c r="H20" i="9"/>
  <c r="I9" i="9"/>
  <c r="H56" i="9"/>
  <c r="H67" i="9"/>
  <c r="H20" i="10" s="1"/>
  <c r="H24" i="9"/>
  <c r="H19" i="9"/>
  <c r="H72" i="9"/>
  <c r="H18" i="10" s="1"/>
  <c r="H53" i="9"/>
  <c r="G29" i="9"/>
  <c r="G40" i="9"/>
  <c r="G10" i="10" s="1"/>
  <c r="H19" i="10" l="1"/>
  <c r="F59" i="9"/>
  <c r="E29" i="10"/>
  <c r="G43" i="9"/>
  <c r="G11" i="10" s="1"/>
  <c r="D29" i="10"/>
  <c r="H58" i="9"/>
  <c r="H77" i="9" s="1"/>
  <c r="H17" i="10"/>
  <c r="H21" i="10" s="1"/>
  <c r="F60" i="9"/>
  <c r="F13" i="10" s="1"/>
  <c r="F14" i="10" s="1"/>
  <c r="I13" i="9"/>
  <c r="I15" i="9"/>
  <c r="I18" i="9" s="1"/>
  <c r="G48" i="9"/>
  <c r="G12" i="10" s="1"/>
  <c r="H25" i="9"/>
  <c r="H28" i="9"/>
  <c r="H30" i="9"/>
  <c r="H39" i="9"/>
  <c r="H9" i="10" s="1"/>
  <c r="F63" i="9"/>
  <c r="F22" i="10" l="1"/>
  <c r="F23" i="10"/>
  <c r="G60" i="9"/>
  <c r="G13" i="10" s="1"/>
  <c r="G14" i="10" s="1"/>
  <c r="G59" i="9"/>
  <c r="G63" i="9" s="1"/>
  <c r="G64" i="9" s="1"/>
  <c r="G47" i="9"/>
  <c r="F75" i="9"/>
  <c r="F64" i="9"/>
  <c r="F68" i="9"/>
  <c r="I56" i="9"/>
  <c r="I67" i="9"/>
  <c r="I20" i="10" s="1"/>
  <c r="I24" i="9"/>
  <c r="I72" i="9"/>
  <c r="I18" i="10" s="1"/>
  <c r="I19" i="9"/>
  <c r="I53" i="9"/>
  <c r="I17" i="10" s="1"/>
  <c r="H29" i="9"/>
  <c r="H40" i="9"/>
  <c r="I20" i="9"/>
  <c r="I14" i="9"/>
  <c r="J9" i="9"/>
  <c r="G22" i="10" l="1"/>
  <c r="I19" i="10"/>
  <c r="G23" i="10"/>
  <c r="H43" i="9"/>
  <c r="H11" i="10" s="1"/>
  <c r="H10" i="10"/>
  <c r="G68" i="9"/>
  <c r="G73" i="9" s="1"/>
  <c r="I21" i="10"/>
  <c r="G75" i="9"/>
  <c r="F24" i="10"/>
  <c r="H48" i="9"/>
  <c r="H12" i="10" s="1"/>
  <c r="H47" i="9"/>
  <c r="I58" i="9"/>
  <c r="I77" i="9" s="1"/>
  <c r="F73" i="9"/>
  <c r="F76" i="9"/>
  <c r="F69" i="9"/>
  <c r="J13" i="9"/>
  <c r="J15" i="9"/>
  <c r="J18" i="9" s="1"/>
  <c r="I25" i="9"/>
  <c r="I28" i="9"/>
  <c r="I30" i="9"/>
  <c r="I39" i="9"/>
  <c r="I9" i="10" s="1"/>
  <c r="F74" i="9" l="1"/>
  <c r="F27" i="11"/>
  <c r="G74" i="9"/>
  <c r="G27" i="11"/>
  <c r="F11" i="12"/>
  <c r="F12" i="12" s="1"/>
  <c r="F16" i="12" s="1"/>
  <c r="G69" i="9"/>
  <c r="H59" i="9"/>
  <c r="H63" i="9" s="1"/>
  <c r="G76" i="9"/>
  <c r="G24" i="10"/>
  <c r="H60" i="9"/>
  <c r="H13" i="10" s="1"/>
  <c r="H14" i="10" s="1"/>
  <c r="F35" i="10"/>
  <c r="F26" i="10"/>
  <c r="F25" i="10"/>
  <c r="I40" i="9"/>
  <c r="I10" i="10" s="1"/>
  <c r="I29" i="9"/>
  <c r="J19" i="9"/>
  <c r="J53" i="9"/>
  <c r="J17" i="10" s="1"/>
  <c r="J56" i="9"/>
  <c r="J19" i="10" s="1"/>
  <c r="J67" i="9"/>
  <c r="J20" i="10" s="1"/>
  <c r="J24" i="9"/>
  <c r="J72" i="9"/>
  <c r="J18" i="10" s="1"/>
  <c r="J20" i="9"/>
  <c r="J14" i="9"/>
  <c r="I43" i="9"/>
  <c r="I11" i="10" s="1"/>
  <c r="C8" i="14" l="1"/>
  <c r="F17" i="12"/>
  <c r="G11" i="12"/>
  <c r="G12" i="12" s="1"/>
  <c r="G16" i="12" s="1"/>
  <c r="H22" i="10"/>
  <c r="H23" i="10"/>
  <c r="F37" i="10"/>
  <c r="F38" i="10" s="1"/>
  <c r="F49" i="10" s="1"/>
  <c r="F48" i="10"/>
  <c r="J21" i="10"/>
  <c r="G25" i="10"/>
  <c r="G26" i="10"/>
  <c r="G35" i="10"/>
  <c r="F28" i="10"/>
  <c r="F27" i="10"/>
  <c r="J25" i="9"/>
  <c r="J39" i="9"/>
  <c r="J9" i="10" s="1"/>
  <c r="J28" i="9"/>
  <c r="J30" i="9"/>
  <c r="H68" i="9"/>
  <c r="H75" i="9"/>
  <c r="H64" i="9"/>
  <c r="J58" i="9"/>
  <c r="J77" i="9" s="1"/>
  <c r="I59" i="9"/>
  <c r="I60" i="9"/>
  <c r="I13" i="10" s="1"/>
  <c r="I14" i="10" s="1"/>
  <c r="I47" i="9"/>
  <c r="I48" i="9"/>
  <c r="I12" i="10" s="1"/>
  <c r="G17" i="12" l="1"/>
  <c r="D8" i="14"/>
  <c r="D11" i="14" s="1"/>
  <c r="C11" i="14"/>
  <c r="I22" i="10"/>
  <c r="G37" i="10"/>
  <c r="G38" i="10" s="1"/>
  <c r="G48" i="10"/>
  <c r="G28" i="10"/>
  <c r="G27" i="10"/>
  <c r="F29" i="10"/>
  <c r="F44" i="10"/>
  <c r="F39" i="10"/>
  <c r="H24" i="10"/>
  <c r="H69" i="9"/>
  <c r="H73" i="9"/>
  <c r="H76" i="9"/>
  <c r="J40" i="9"/>
  <c r="J10" i="10" s="1"/>
  <c r="J29" i="9"/>
  <c r="I63" i="9"/>
  <c r="I23" i="10" s="1"/>
  <c r="H74" i="9" l="1"/>
  <c r="H27" i="11"/>
  <c r="H11" i="12"/>
  <c r="H12" i="12" s="1"/>
  <c r="H16" i="12" s="1"/>
  <c r="G44" i="10"/>
  <c r="G45" i="10" s="1"/>
  <c r="G39" i="10"/>
  <c r="H26" i="10"/>
  <c r="H25" i="10"/>
  <c r="H35" i="10"/>
  <c r="G29" i="10"/>
  <c r="J43" i="9"/>
  <c r="J11" i="10" s="1"/>
  <c r="F45" i="10"/>
  <c r="G49" i="10"/>
  <c r="I24" i="10"/>
  <c r="J59" i="9"/>
  <c r="J60" i="9"/>
  <c r="J13" i="10" s="1"/>
  <c r="J48" i="9"/>
  <c r="J12" i="10" s="1"/>
  <c r="J47" i="9"/>
  <c r="I68" i="9"/>
  <c r="I75" i="9"/>
  <c r="I64" i="9"/>
  <c r="H17" i="12" l="1"/>
  <c r="E8" i="14"/>
  <c r="I11" i="12"/>
  <c r="I12" i="12" s="1"/>
  <c r="I16" i="12" s="1"/>
  <c r="I35" i="10"/>
  <c r="I37" i="10" s="1"/>
  <c r="I38" i="10" s="1"/>
  <c r="I39" i="10" s="1"/>
  <c r="I26" i="10"/>
  <c r="I25" i="10"/>
  <c r="H37" i="10"/>
  <c r="H48" i="10"/>
  <c r="H28" i="10"/>
  <c r="H27" i="10"/>
  <c r="J14" i="10"/>
  <c r="I69" i="9"/>
  <c r="I73" i="9"/>
  <c r="I76" i="9"/>
  <c r="J63" i="9"/>
  <c r="I17" i="12" l="1"/>
  <c r="F8" i="14"/>
  <c r="F11" i="14" s="1"/>
  <c r="E11" i="14"/>
  <c r="I74" i="9"/>
  <c r="I27" i="11"/>
  <c r="H38" i="10"/>
  <c r="J23" i="10"/>
  <c r="H29" i="10"/>
  <c r="I48" i="10"/>
  <c r="J22" i="10"/>
  <c r="I27" i="10"/>
  <c r="I28" i="10"/>
  <c r="J64" i="9"/>
  <c r="J68" i="9"/>
  <c r="J75" i="9"/>
  <c r="I44" i="10" l="1"/>
  <c r="J24" i="10"/>
  <c r="H39" i="10"/>
  <c r="H44" i="10"/>
  <c r="I49" i="10"/>
  <c r="I29" i="10"/>
  <c r="H49" i="10"/>
  <c r="J69" i="9"/>
  <c r="J73" i="9"/>
  <c r="J76" i="9"/>
  <c r="J11" i="12" l="1"/>
  <c r="J12" i="12" s="1"/>
  <c r="J16" i="12" s="1"/>
  <c r="J74" i="9"/>
  <c r="J27" i="11"/>
  <c r="I45" i="10"/>
  <c r="H45" i="10"/>
  <c r="J26" i="10"/>
  <c r="J25" i="10"/>
  <c r="C10" i="1" s="1"/>
  <c r="J35" i="10"/>
  <c r="J17" i="12" l="1"/>
  <c r="C16" i="23" s="1"/>
  <c r="G8" i="14"/>
  <c r="C11" i="1"/>
  <c r="J37" i="10"/>
  <c r="J48" i="10"/>
  <c r="J28" i="10"/>
  <c r="J27" i="10"/>
  <c r="C26" i="14" l="1"/>
  <c r="C27" i="14" s="1"/>
  <c r="C28" i="14" s="1"/>
  <c r="G11" i="14"/>
  <c r="C25" i="14" s="1"/>
  <c r="J38" i="10"/>
  <c r="J29" i="10"/>
  <c r="C29" i="14" l="1"/>
  <c r="C12" i="23"/>
  <c r="C13" i="23" s="1"/>
  <c r="C33" i="14"/>
  <c r="C34" i="14"/>
  <c r="J44" i="10"/>
  <c r="J45" i="10" s="1"/>
  <c r="J39" i="10"/>
  <c r="J49" i="10"/>
  <c r="C12" i="1" l="1"/>
  <c r="C22" i="23"/>
  <c r="C23" i="23" s="1"/>
  <c r="C14" i="23"/>
  <c r="C15" i="23" s="1"/>
  <c r="C17" i="2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Keyur Marolia</author>
  </authors>
  <commentList>
    <comment ref="H18" authorId="0" shapeId="0" xr:uid="{0DC04AC1-D0DF-114D-BBDF-EB8B120847FF}">
      <text>
        <r>
          <rPr>
            <b/>
            <sz val="10"/>
            <color rgb="FF000000"/>
            <rFont val="Tahoma"/>
            <family val="2"/>
          </rPr>
          <t>Keyur Marolia: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FY2021 annual report: foreign exchange gain (net) of INR 5,230.26 million, converted to INR crore.</t>
        </r>
      </text>
    </comment>
    <comment ref="I18" authorId="0" shapeId="0" xr:uid="{6760F3DF-C7E4-C047-A9A0-EA609F7E1CEF}">
      <text>
        <r>
          <rPr>
            <b/>
            <sz val="10"/>
            <color rgb="FF000000"/>
            <rFont val="Tahoma"/>
            <family val="2"/>
          </rPr>
          <t>Keyur Marolia: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FY2022 annual report: foreign exchange loss (net) of INR 9,408.38 million, converted to INR crore.</t>
        </r>
      </text>
    </comment>
    <comment ref="M92" authorId="0" shapeId="0" xr:uid="{C2A7643C-99A5-9C4D-AADD-3A23E54F11F1}">
      <text>
        <r>
          <rPr>
            <b/>
            <sz val="10"/>
            <color rgb="FF000000"/>
            <rFont val="Tahoma"/>
            <family val="2"/>
          </rPr>
          <t>Keyur Marolia:</t>
        </r>
        <r>
          <rPr>
            <sz val="10"/>
            <color rgb="FF000000"/>
            <rFont val="Tahoma"/>
            <family val="2"/>
          </rPr>
          <t xml:space="preserve">
Source: FY2026 Audited Consolidated Results. Purchase of property, plant and equipment.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Keyur Marolia</author>
  </authors>
  <commentList>
    <comment ref="E17" authorId="0" shapeId="0" xr:uid="{D45848EA-6DA5-FE4E-886D-16F0197F5099}">
      <text>
        <r>
          <rPr>
            <b/>
            <sz val="10"/>
            <color rgb="FF000000"/>
            <rFont val="Tahoma"/>
            <family val="2"/>
          </rPr>
          <t>Keyur Marolia:</t>
        </r>
        <r>
          <rPr>
            <sz val="10"/>
            <color rgb="FF000000"/>
            <rFont val="Tahoma"/>
            <family val="2"/>
          </rPr>
          <t xml:space="preserve">
Source: IndiGo October 2025 newsletter citing DGCA data; market share as of August 2025.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Keyur Marolia</author>
  </authors>
  <commentList>
    <comment ref="F19" authorId="0" shapeId="0" xr:uid="{BDCD37BF-BE70-9441-BF61-F4E9D15BD685}">
      <text>
        <r>
          <rPr>
            <b/>
            <sz val="10"/>
            <color rgb="FF000000"/>
            <rFont val="Tahoma"/>
            <family val="2"/>
          </rPr>
          <t xml:space="preserve">MANAGEMENT OUTLOOK
</t>
        </r>
        <r>
          <rPr>
            <b/>
            <sz val="10"/>
            <color rgb="FF000000"/>
            <rFont val="Tahoma"/>
            <family val="2"/>
          </rPr>
          <t>Q1 FY2027 capacity growth expected at approximately 3%-4% year-on-year.</t>
        </r>
      </text>
    </comment>
    <comment ref="F36" authorId="0" shapeId="0" xr:uid="{099E65DC-6B2C-B64F-ACDE-99445B9BC80B}">
      <text>
        <r>
          <rPr>
            <b/>
            <sz val="10"/>
            <color rgb="FF000000"/>
            <rFont val="Tahoma"/>
            <family val="2"/>
          </rPr>
          <t>Keyur Marolia: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MANAGEMENT OUTLOOK
</t>
        </r>
        <r>
          <rPr>
            <sz val="10"/>
            <color rgb="FF000000"/>
            <rFont val="Tahoma"/>
            <family val="2"/>
          </rPr>
          <t>Q1 FY2027 PRASK expected to improve by the mid-teens year-on-year. This is an all-in PRASK measure including the fuel surcharge.</t>
        </r>
      </text>
    </comment>
    <comment ref="F52" authorId="0" shapeId="0" xr:uid="{7D1F2BBB-83B2-0D44-9FC9-E6A0CD348178}">
      <text>
        <r>
          <rPr>
            <b/>
            <sz val="10"/>
            <color rgb="FF000000"/>
            <rFont val="Tahoma"/>
            <family val="2"/>
          </rPr>
          <t>Keyur Marolia: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MANAGEMENT COMMENTARY
</t>
        </r>
        <r>
          <rPr>
            <sz val="10"/>
            <color rgb="FF000000"/>
            <rFont val="Tahoma"/>
            <family val="2"/>
          </rPr>
          <t>Fuel-price and currency movements flow into fuel CASK with an approximately one-month lag. Fuel hedging had not been implemented and was only under early internal evaluation.</t>
        </r>
      </text>
    </comment>
    <comment ref="F55" authorId="0" shapeId="0" xr:uid="{9B389003-9F9A-CE43-8340-F0B961D3A58D}">
      <text>
        <r>
          <rPr>
            <b/>
            <sz val="10"/>
            <color rgb="FF000000"/>
            <rFont val="Tahoma"/>
            <family val="2"/>
          </rPr>
          <t xml:space="preserve">MANAGEMENT DIRECTIONAL OUTLOOK
</t>
        </r>
        <r>
          <rPr>
            <b/>
            <sz val="10"/>
            <color rgb="FF000000"/>
            <rFont val="Tahoma"/>
            <family val="2"/>
          </rPr>
          <t>CASK ex-fuel ex-FX expected to increase in the mid- to high-single digits over the coming quarters, subject to utilization and geopolitical conditions.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Keyur Marolia</author>
  </authors>
  <commentList>
    <comment ref="E85" authorId="0" shapeId="0" xr:uid="{7A12E99F-0928-E44F-9D0A-D6C8F1F6DD16}">
      <text>
        <r>
          <rPr>
            <b/>
            <sz val="10"/>
            <color rgb="FF000000"/>
            <rFont val="Tahoma"/>
            <family val="2"/>
          </rPr>
          <t>Keyur Marolia:</t>
        </r>
        <r>
          <rPr>
            <sz val="10"/>
            <color rgb="FF000000"/>
            <rFont val="Tahoma"/>
            <family val="2"/>
          </rPr>
          <t xml:space="preserve">
Source: IndiGo FY2026 results press release. Total cash INR 51,650.6 crore: free cash INR 36,216.3 crore and restricted cash INR 15,434.3 crore.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Keyur Marolia</author>
  </authors>
  <commentList>
    <comment ref="C7" authorId="0" shapeId="0" xr:uid="{496E93BA-78BC-A247-A5DD-49D113C9C2C3}">
      <text>
        <r>
          <rPr>
            <b/>
            <sz val="10"/>
            <color rgb="FF000000"/>
            <rFont val="Tahoma"/>
            <family val="2"/>
          </rPr>
          <t>Source: Screener, InterGlobe Aviation, 07-Sep-2026 close.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<sst xmlns="http://schemas.openxmlformats.org/spreadsheetml/2006/main" count="1209" uniqueCount="581">
  <si>
    <t>Purpose</t>
  </si>
  <si>
    <t>Blue font</t>
  </si>
  <si>
    <t>Black font</t>
  </si>
  <si>
    <t>Formulas and calculations</t>
  </si>
  <si>
    <t>Green font</t>
  </si>
  <si>
    <t>Historical Financial Statements</t>
  </si>
  <si>
    <t>InterGlobe Aviation Limited | FY2016-FY2026 | INR crore unless stated</t>
  </si>
  <si>
    <t>FY2016 is standalone under previous GAAP; FY2017 onward is consolidated under Ind AS. Ind AS 116 was adopted in FY2020.</t>
  </si>
  <si>
    <t>Metric</t>
  </si>
  <si>
    <t>Unit</t>
  </si>
  <si>
    <t>FY2016</t>
  </si>
  <si>
    <t>FY2017</t>
  </si>
  <si>
    <t>FY2018</t>
  </si>
  <si>
    <t>FY2019</t>
  </si>
  <si>
    <t>FY2020</t>
  </si>
  <si>
    <t>FY2021</t>
  </si>
  <si>
    <t>FY2022</t>
  </si>
  <si>
    <t>FY2023</t>
  </si>
  <si>
    <t>FY2024</t>
  </si>
  <si>
    <t>FY2025</t>
  </si>
  <si>
    <t>FY2026</t>
  </si>
  <si>
    <t>Pre-COVID</t>
  </si>
  <si>
    <t>COVID disruption</t>
  </si>
  <si>
    <t>Recovery</t>
  </si>
  <si>
    <t>Income Statement</t>
  </si>
  <si>
    <t>Revenue from operations</t>
  </si>
  <si>
    <t>INR crore</t>
  </si>
  <si>
    <t>Other income</t>
  </si>
  <si>
    <t>Total income</t>
  </si>
  <si>
    <t>Aircraft fuel expense</t>
  </si>
  <si>
    <t>Aircraft and engine rentals</t>
  </si>
  <si>
    <t>Supplementary rentals and maintenance</t>
  </si>
  <si>
    <t>Airport fees and charges</t>
  </si>
  <si>
    <t>Purchase of stock-in-trade</t>
  </si>
  <si>
    <t>Change in inventories</t>
  </si>
  <si>
    <t>Employee expense</t>
  </si>
  <si>
    <t>Foreign exchange loss (net)</t>
  </si>
  <si>
    <t>Other expenses</t>
  </si>
  <si>
    <t>Depreciation and amortisation</t>
  </si>
  <si>
    <t>Finance costs</t>
  </si>
  <si>
    <t>Total expenses</t>
  </si>
  <si>
    <t>Exceptional items</t>
  </si>
  <si>
    <t>Profit before tax</t>
  </si>
  <si>
    <t>Total tax expense / (credit)</t>
  </si>
  <si>
    <t>Profit after tax</t>
  </si>
  <si>
    <t>Basic EPS</t>
  </si>
  <si>
    <t>INR per share</t>
  </si>
  <si>
    <t>Diluted EPS</t>
  </si>
  <si>
    <t>Total expense check</t>
  </si>
  <si>
    <t>P&amp;L check</t>
  </si>
  <si>
    <t>Balance Sheet</t>
  </si>
  <si>
    <t>Property, plant and equipment</t>
  </si>
  <si>
    <t>Right-of-use assets</t>
  </si>
  <si>
    <t>Capital work-in-progress</t>
  </si>
  <si>
    <t>Intangible assets</t>
  </si>
  <si>
    <t>Intangible assets under development</t>
  </si>
  <si>
    <t>Non-current investments</t>
  </si>
  <si>
    <t>Non-current loans</t>
  </si>
  <si>
    <t>Non-current other financial assets</t>
  </si>
  <si>
    <t>Deferred tax assets</t>
  </si>
  <si>
    <t>Income tax assets</t>
  </si>
  <si>
    <t>Other non-current assets</t>
  </si>
  <si>
    <t>Total non-current assets</t>
  </si>
  <si>
    <t>Inventories</t>
  </si>
  <si>
    <t>Current investments</t>
  </si>
  <si>
    <t>Trade receivables</t>
  </si>
  <si>
    <t>Cash and cash equivalents</t>
  </si>
  <si>
    <t>Other bank balances</t>
  </si>
  <si>
    <t>Current loans</t>
  </si>
  <si>
    <t>Current other financial assets</t>
  </si>
  <si>
    <t>Other current assets</t>
  </si>
  <si>
    <t>Total current assets</t>
  </si>
  <si>
    <t>Assets held for sale</t>
  </si>
  <si>
    <t>Total assets</t>
  </si>
  <si>
    <t>Share capital</t>
  </si>
  <si>
    <t>Other equity</t>
  </si>
  <si>
    <t>Total equity</t>
  </si>
  <si>
    <t>Non-current borrowings</t>
  </si>
  <si>
    <t>Non-current lease liabilities</t>
  </si>
  <si>
    <t>Non-current other financial liabilities</t>
  </si>
  <si>
    <t>Non-current provisions</t>
  </si>
  <si>
    <t>Deferred tax liabilities</t>
  </si>
  <si>
    <t>Non-current deferred incentives</t>
  </si>
  <si>
    <t>Other non-current liabilities</t>
  </si>
  <si>
    <t>Total non-current liabilities</t>
  </si>
  <si>
    <t>Current borrowings</t>
  </si>
  <si>
    <t>Current lease liabilities</t>
  </si>
  <si>
    <t>Trade payables - MSME</t>
  </si>
  <si>
    <t>Trade payables - other</t>
  </si>
  <si>
    <t>Current other financial liabilities</t>
  </si>
  <si>
    <t>Current provisions</t>
  </si>
  <si>
    <t>Current tax liabilities</t>
  </si>
  <si>
    <t>Current deferred incentives</t>
  </si>
  <si>
    <t>Other current liabilities</t>
  </si>
  <si>
    <t>Total current liabilities</t>
  </si>
  <si>
    <t>Total equity and liabilities</t>
  </si>
  <si>
    <t>Balance sheet check</t>
  </si>
  <si>
    <t>Cash Flow Statement</t>
  </si>
  <si>
    <t>Interest income</t>
  </si>
  <si>
    <t>Unrealised foreign exchange</t>
  </si>
  <si>
    <t>Operating profit before working capital changes</t>
  </si>
  <si>
    <t>Change in net working capital</t>
  </si>
  <si>
    <t>Cash generated from operations</t>
  </si>
  <si>
    <t>Income taxes paid</t>
  </si>
  <si>
    <t>Net cash from operating activities</t>
  </si>
  <si>
    <t>Capital expenditure</t>
  </si>
  <si>
    <t>Basic free cash flow</t>
  </si>
  <si>
    <t>Asset sale proceeds</t>
  </si>
  <si>
    <t>Interest received</t>
  </si>
  <si>
    <t>Other investing flows</t>
  </si>
  <si>
    <t>Net cash from investing activities</t>
  </si>
  <si>
    <t>Borrowing proceeds</t>
  </si>
  <si>
    <t>Borrowing repayments</t>
  </si>
  <si>
    <t>Lease payments</t>
  </si>
  <si>
    <t>Interest paid</t>
  </si>
  <si>
    <t>Dividends paid</t>
  </si>
  <si>
    <t>Equity issuance</t>
  </si>
  <si>
    <t>Other financing flows</t>
  </si>
  <si>
    <t>Net cash from financing activities</t>
  </si>
  <si>
    <t>Net change in cash</t>
  </si>
  <si>
    <t>FX effect on cash</t>
  </si>
  <si>
    <t>Opening cash and cash equivalents</t>
  </si>
  <si>
    <t>Closing cash and cash equivalents</t>
  </si>
  <si>
    <t>Cash roll-forward check</t>
  </si>
  <si>
    <t>Historical Operating KPIs</t>
  </si>
  <si>
    <t>Historical Analysis</t>
  </si>
  <si>
    <t>Reverse DCF</t>
  </si>
  <si>
    <t>Sources and References</t>
  </si>
  <si>
    <t>Annual Reports</t>
  </si>
  <si>
    <t>Period</t>
  </si>
  <si>
    <t>Standalone | previous GAAP</t>
  </si>
  <si>
    <t>Consolidated | Ind AS</t>
  </si>
  <si>
    <t>Source document</t>
  </si>
  <si>
    <t>Annual Report FY2016</t>
  </si>
  <si>
    <t>Annual Report FY2017</t>
  </si>
  <si>
    <t>Annual Report FY2018</t>
  </si>
  <si>
    <t>Annual Report FY2019</t>
  </si>
  <si>
    <t>Annual Report FY2020</t>
  </si>
  <si>
    <t>Annual Report FY2021</t>
  </si>
  <si>
    <t>Annual Report FY2022</t>
  </si>
  <si>
    <t>Annual Report FY2023</t>
  </si>
  <si>
    <t>Annual Report FY2024</t>
  </si>
  <si>
    <t>Annual Report FY2025</t>
  </si>
  <si>
    <t>Annual Report FY2026</t>
  </si>
  <si>
    <t>Company reports used for the historical financial statements</t>
  </si>
  <si>
    <t>FY2016 is standalone under previous GAAP; FY2017 onward is consolidated under Ind AS.</t>
  </si>
  <si>
    <t>Reporting basis</t>
  </si>
  <si>
    <t>File name</t>
  </si>
  <si>
    <t>InterGlobe_Aviation_Annual_Report_FY2016.pdf</t>
  </si>
  <si>
    <t>InterGlobe_Aviation_Annual_Report_FY2017.pdf</t>
  </si>
  <si>
    <t>InterGlobe_Aviation_Annual_Report_FY2018.pdf</t>
  </si>
  <si>
    <t>InterGlobe_Aviation_Annual_Report_FY2019.pdf</t>
  </si>
  <si>
    <t>InterGlobe_Aviation_Annual_Report_FY2020.pdf</t>
  </si>
  <si>
    <t>InterGlobe_Aviation_Annual_Report_FY2021.pdf</t>
  </si>
  <si>
    <t>InterGlobe_Aviation_Annual_Report_FY2022.pdf</t>
  </si>
  <si>
    <t>InterGlobe_Aviation_Annual_Report_FY2023.pdf</t>
  </si>
  <si>
    <t>InterGlobe_Aviation_Annual_Report_FY2024.pdf</t>
  </si>
  <si>
    <t>InterGlobe_Aviation_Annual_Report_FY2025.pdf</t>
  </si>
  <si>
    <t>InterGlobe_Aviation_Annual_Report_FY2026.pdf</t>
  </si>
  <si>
    <t>Links to other worksheets</t>
  </si>
  <si>
    <t>InterGlobe Aviation Limited | FY2016-FY2026</t>
  </si>
  <si>
    <t>Company full-year disclosures. Later-year traffic metrics include non-scheduled operations where stated.</t>
  </si>
  <si>
    <t>FY2016 AR / FY2017 Q4</t>
  </si>
  <si>
    <t>FY2017 Q4 / AR</t>
  </si>
  <si>
    <t>FY2018 Q4 / AR</t>
  </si>
  <si>
    <t>FY2019 Q4 / AR</t>
  </si>
  <si>
    <t>FY2020 Q4 / AR</t>
  </si>
  <si>
    <t>FY2021 Q4 / AR</t>
  </si>
  <si>
    <t>FY2022 Q4 / AR</t>
  </si>
  <si>
    <t>FY2023 Q4 / AR</t>
  </si>
  <si>
    <t>FY2024 Q4 / AR</t>
  </si>
  <si>
    <t>FY2025 Q4 / AR</t>
  </si>
  <si>
    <t>FY2026 Q4 / AR</t>
  </si>
  <si>
    <t>Traffic and Capacity</t>
  </si>
  <si>
    <t>ASK</t>
  </si>
  <si>
    <t>billion</t>
  </si>
  <si>
    <t>RPK</t>
  </si>
  <si>
    <t>Load factor</t>
  </si>
  <si>
    <t>%</t>
  </si>
  <si>
    <t>Passengers</t>
  </si>
  <si>
    <t>million</t>
  </si>
  <si>
    <t>Unit Revenue and Cost</t>
  </si>
  <si>
    <t>Yield</t>
  </si>
  <si>
    <t>INR / passenger km</t>
  </si>
  <si>
    <t>RASK</t>
  </si>
  <si>
    <t>INR / ASK</t>
  </si>
  <si>
    <t>CASK</t>
  </si>
  <si>
    <t>Ex-fuel CASK</t>
  </si>
  <si>
    <t>Fuel CASK</t>
  </si>
  <si>
    <t>Network and Fleet</t>
  </si>
  <si>
    <t>Closing fleet</t>
  </si>
  <si>
    <t>aircraft</t>
  </si>
  <si>
    <t>Net fleet additions</t>
  </si>
  <si>
    <t>Peak daily flights</t>
  </si>
  <si>
    <t>flights</t>
  </si>
  <si>
    <t>Domestic destinations</t>
  </si>
  <si>
    <t>destinations</t>
  </si>
  <si>
    <t>International destinations</t>
  </si>
  <si>
    <t>Total destinations</t>
  </si>
  <si>
    <t>Operating period</t>
  </si>
  <si>
    <t>Ind AS 116 transition</t>
  </si>
  <si>
    <t>Normalized recent</t>
  </si>
  <si>
    <t>Recent / FX-distorted</t>
  </si>
  <si>
    <t>Growth and Network Expansion</t>
  </si>
  <si>
    <t>Revenue growth</t>
  </si>
  <si>
    <t>Passenger growth</t>
  </si>
  <si>
    <t>ASK growth</t>
  </si>
  <si>
    <t>RPK growth</t>
  </si>
  <si>
    <t>Fleet growth</t>
  </si>
  <si>
    <t>International destinations growth (capacity proxy)</t>
  </si>
  <si>
    <t>Peak daily flights growth</t>
  </si>
  <si>
    <t>Unit Economics</t>
  </si>
  <si>
    <t>Reported RASK</t>
  </si>
  <si>
    <t>Reported CASK</t>
  </si>
  <si>
    <t>Reported ex-fuel CASK</t>
  </si>
  <si>
    <t>Revenue / ASK</t>
  </si>
  <si>
    <t>Fuel cost / ASK</t>
  </si>
  <si>
    <t>Employee cost / ASK</t>
  </si>
  <si>
    <t>Supplementary rentals and maintenance / ASK</t>
  </si>
  <si>
    <t>EBITDAR proxy / ASK</t>
  </si>
  <si>
    <t>EBITDA / ASK</t>
  </si>
  <si>
    <t>EBIT / ASK</t>
  </si>
  <si>
    <t>Revenue / passenger</t>
  </si>
  <si>
    <t>INR / passenger</t>
  </si>
  <si>
    <t>PAT / passenger</t>
  </si>
  <si>
    <t>Margins and Returns</t>
  </si>
  <si>
    <t>EBITDAR proxy margin</t>
  </si>
  <si>
    <t>EBITDA margin</t>
  </si>
  <si>
    <t>EBIT margin</t>
  </si>
  <si>
    <t>PAT margin</t>
  </si>
  <si>
    <t>ROE</t>
  </si>
  <si>
    <t>Asset turnover</t>
  </si>
  <si>
    <t>x</t>
  </si>
  <si>
    <t>Effective tax rate</t>
  </si>
  <si>
    <t>Cash Conversion</t>
  </si>
  <si>
    <t>CFO / EBITDA</t>
  </si>
  <si>
    <t>FCF / revenue</t>
  </si>
  <si>
    <t>Balance Sheet and Leverage</t>
  </si>
  <si>
    <t>Gross borrowings</t>
  </si>
  <si>
    <t>Lease liabilities</t>
  </si>
  <si>
    <t>Cash and liquid balances</t>
  </si>
  <si>
    <t>Net financial debt / (cash)</t>
  </si>
  <si>
    <t>Lease-adjusted net debt</t>
  </si>
  <si>
    <t>Lease-adjusted leverage</t>
  </si>
  <si>
    <t>Interest coverage</t>
  </si>
  <si>
    <t>Lease liabilities / EBITDAR proxy</t>
  </si>
  <si>
    <t>Supporting Calculations</t>
  </si>
  <si>
    <t>Tax expense / (credit)</t>
  </si>
  <si>
    <t>EBIT (reported)</t>
  </si>
  <si>
    <t>EBITDA</t>
  </si>
  <si>
    <t>EBITDAR proxy</t>
  </si>
  <si>
    <t>Cash flow from operations</t>
  </si>
  <si>
    <t>Total equity (including NCI)</t>
  </si>
  <si>
    <t>ASK (available seat km)</t>
  </si>
  <si>
    <t>RPK (revenue passengers km)</t>
  </si>
  <si>
    <t>Historical calculations linked to reported financial statements and operating KPIs. FY2020 is the Ind AS 116 accounting break; pre-FY2020 and post-FY2020 lease-based returns are not directly comparable.</t>
  </si>
  <si>
    <t>Gross liquidity pool</t>
  </si>
  <si>
    <t>Net borrowings / (gross liquidity)</t>
  </si>
  <si>
    <t>percentage points</t>
  </si>
  <si>
    <t>status</t>
  </si>
  <si>
    <t>Driver-Based Operating Model</t>
  </si>
  <si>
    <t>InterGlobe Aviation Limited | FY2024A-FY2031E</t>
  </si>
  <si>
    <t>FY2024A</t>
  </si>
  <si>
    <t>FY2025A</t>
  </si>
  <si>
    <t>FY2026A</t>
  </si>
  <si>
    <t>FY2027E</t>
  </si>
  <si>
    <t>FY2028E</t>
  </si>
  <si>
    <t>FY2029E</t>
  </si>
  <si>
    <t>FY2030E</t>
  </si>
  <si>
    <t>FY2031E</t>
  </si>
  <si>
    <t>Actual</t>
  </si>
  <si>
    <t>Forecast</t>
  </si>
  <si>
    <t>Fleet and Capacity</t>
  </si>
  <si>
    <t>Beginning fleet</t>
  </si>
  <si>
    <t>Aircraft deliveries</t>
  </si>
  <si>
    <t>Aircraft retirements</t>
  </si>
  <si>
    <t>Ending fleet</t>
  </si>
  <si>
    <t>Average fleet</t>
  </si>
  <si>
    <t>ASK productivity / average aircraft</t>
  </si>
  <si>
    <t>bn ASK / aircraft</t>
  </si>
  <si>
    <t>Capacity identity check</t>
  </si>
  <si>
    <t>Traffic</t>
  </si>
  <si>
    <t>Passenger distance</t>
  </si>
  <si>
    <t>000 km / passenger</t>
  </si>
  <si>
    <t>Traffic identity check</t>
  </si>
  <si>
    <t>Revenue</t>
  </si>
  <si>
    <t>Passenger revenue</t>
  </si>
  <si>
    <t>Ancillary and other operating revenue</t>
  </si>
  <si>
    <t>Ancillary revenue / passenger</t>
  </si>
  <si>
    <t>Calculated RASK</t>
  </si>
  <si>
    <t>RASK definition difference</t>
  </si>
  <si>
    <t>Revenue identity check</t>
  </si>
  <si>
    <t>Cost and Profitability</t>
  </si>
  <si>
    <t>Fuel cost</t>
  </si>
  <si>
    <t>Total CASK</t>
  </si>
  <si>
    <t>Total operating cost</t>
  </si>
  <si>
    <t>Operating result before other income</t>
  </si>
  <si>
    <t>EBIT</t>
  </si>
  <si>
    <t>Depreciation and amortisation / ASK</t>
  </si>
  <si>
    <t>Aircraft rentals / ASK</t>
  </si>
  <si>
    <t>EBITDAR margin</t>
  </si>
  <si>
    <t>EBIT identity check</t>
  </si>
  <si>
    <t>EBITDA identity check</t>
  </si>
  <si>
    <t>Operating cost identity check</t>
  </si>
  <si>
    <t>ASK productivity growth</t>
  </si>
  <si>
    <t>Passenger distance growth</t>
  </si>
  <si>
    <t>Yield growth</t>
  </si>
  <si>
    <t>Ancillary revenue / passenger growth</t>
  </si>
  <si>
    <t>Fuel CASK growth</t>
  </si>
  <si>
    <t>Other income / revenue</t>
  </si>
  <si>
    <t>D&amp;A / ASK growth</t>
  </si>
  <si>
    <t>Aircraft rentals / ASK growth</t>
  </si>
  <si>
    <t>Ex-fuel cost</t>
  </si>
  <si>
    <t>Forecast Income Statement</t>
  </si>
  <si>
    <t>InterGlobe Aviation Limited | INR crore | FY2024A-FY2031E</t>
  </si>
  <si>
    <t>Operating Expenses and Profitability</t>
  </si>
  <si>
    <t>Other ex-fuel operating expenses</t>
  </si>
  <si>
    <t>Total operating expenses</t>
  </si>
  <si>
    <t>Standardised EBIT</t>
  </si>
  <si>
    <t>EBITDAR</t>
  </si>
  <si>
    <t>Below-the-Line Items</t>
  </si>
  <si>
    <t>Finance costs / revenue</t>
  </si>
  <si>
    <t>Tax expense</t>
  </si>
  <si>
    <t>Per Share</t>
  </si>
  <si>
    <t>Diluted weighted average shares</t>
  </si>
  <si>
    <t>Share count growth</t>
  </si>
  <si>
    <t>EPS growth</t>
  </si>
  <si>
    <t>Income statement identity check</t>
  </si>
  <si>
    <t>PAT identity check</t>
  </si>
  <si>
    <t>crore shares</t>
  </si>
  <si>
    <t>EBIT before adjustment</t>
  </si>
  <si>
    <t>Passenger PRASK</t>
  </si>
  <si>
    <t>Passenger PRASK growth</t>
  </si>
  <si>
    <t>Ancillary RASK</t>
  </si>
  <si>
    <t>RASK - CASK spread</t>
  </si>
  <si>
    <t>Management Commentary and Near-Term Outlook</t>
  </si>
  <si>
    <t>Topic</t>
  </si>
  <si>
    <t>Classification</t>
  </si>
  <si>
    <t>Management statement</t>
  </si>
  <si>
    <t>Q1 FY2027 capacity growth</t>
  </si>
  <si>
    <t>Management outlook</t>
  </si>
  <si>
    <t>3%-4% year-on-year; no full-year capacity guidance provided.</t>
  </si>
  <si>
    <t>Q1 FY2027 PRASK growth</t>
  </si>
  <si>
    <t>Mid-teens year-on-year; all-in PRASK including the fuel surcharge.</t>
  </si>
  <si>
    <t>CASK ex-fuel ex-FX</t>
  </si>
  <si>
    <t>Directional outlook</t>
  </si>
  <si>
    <t>Mid- to high-single-digit increase over coming quarters; highly conditional.</t>
  </si>
  <si>
    <t>Fuel hedging</t>
  </si>
  <si>
    <t>Management commentary</t>
  </si>
  <si>
    <t>Not implemented; only in early internal evaluation.</t>
  </si>
  <si>
    <t>Currency hedges in place</t>
  </si>
  <si>
    <t>Reported position</t>
  </si>
  <si>
    <t>Approximately US$1.3 billion hedged as of the earnings call.</t>
  </si>
  <si>
    <t>Currency hedge policy</t>
  </si>
  <si>
    <t>Management policy</t>
  </si>
  <si>
    <t>Target increased to US$3.0 billion: US$1.0 billion over 12 months and US$2.0 billion across years 2-5.</t>
  </si>
  <si>
    <t>USD/INR MTM sensitivity</t>
  </si>
  <si>
    <t>Management sensitivity</t>
  </si>
  <si>
    <t>Approximately INR 900 crore for each INR 1 depreciation against the US dollar.</t>
  </si>
  <si>
    <t>Fuel CASK timing</t>
  </si>
  <si>
    <t>Approximately one-month lag from benchmark fuel prices and currency movements.</t>
  </si>
  <si>
    <t>Fuel-cost pass-through</t>
  </si>
  <si>
    <t>Large part recovered domestically; international increase not fully recovered.</t>
  </si>
  <si>
    <t>P&amp;W AOG aircraft</t>
  </si>
  <si>
    <t>Currently in the 40s and expected to decline into the 30s by year-end.</t>
  </si>
  <si>
    <t>Fleet strategy</t>
  </si>
  <si>
    <t>No order-book delivery change; return most damp leases and reduce older-aircraft use.</t>
  </si>
  <si>
    <t>Middle East capacity</t>
  </si>
  <si>
    <t>Approximately two-thirds restored at the call; full capacity targeted by end-June, subject to risk assessment.</t>
  </si>
  <si>
    <t>Minimum liquidity</t>
  </si>
  <si>
    <t>Maintain approximately 20%-25% of annual revenue as a safety net.</t>
  </si>
  <si>
    <t>Source</t>
  </si>
  <si>
    <t>Document</t>
  </si>
  <si>
    <t>InterGlobe Aviation Q4 FY2026 Earnings Call Transcript</t>
  </si>
  <si>
    <t>InterGlobe Aviation Limited | INR crore unless stated | FY2024A-FY2031E</t>
  </si>
  <si>
    <t>Fleet Bridge</t>
  </si>
  <si>
    <t>Fleet identity check</t>
  </si>
  <si>
    <t>Lease Liability Schedule</t>
  </si>
  <si>
    <t>Beginning lease liabilities</t>
  </si>
  <si>
    <t>Lease liability growth</t>
  </si>
  <si>
    <t>Closing lease liabilities</t>
  </si>
  <si>
    <t>Current portion of total leases</t>
  </si>
  <si>
    <t>Lease balance-sheet check</t>
  </si>
  <si>
    <t>Lease liabilities / ending fleet</t>
  </si>
  <si>
    <t>INR crore / aircraft</t>
  </si>
  <si>
    <t>Lease liabilities / ROU assets</t>
  </si>
  <si>
    <t>Lease liabilities / EBITDAR</t>
  </si>
  <si>
    <t>ROU and Owned-Asset Schedule</t>
  </si>
  <si>
    <t>Beginning ROU assets</t>
  </si>
  <si>
    <t>ROU asset growth</t>
  </si>
  <si>
    <t>Closing ROU assets</t>
  </si>
  <si>
    <t>PPE growth</t>
  </si>
  <si>
    <t>Total aviation fixed assets</t>
  </si>
  <si>
    <t>D&amp;A / closing fixed assets</t>
  </si>
  <si>
    <t>Reported owned aircraft</t>
  </si>
  <si>
    <t>Net owned aircraft additions</t>
  </si>
  <si>
    <t>Ending owned aircraft</t>
  </si>
  <si>
    <t>Owned aircraft share</t>
  </si>
  <si>
    <t>Owned + finance-lease aircraft</t>
  </si>
  <si>
    <t>Controlled ownership share</t>
  </si>
  <si>
    <t>Model Treatment and Sources</t>
  </si>
  <si>
    <t>Lease liability definition</t>
  </si>
  <si>
    <t>Management / accounting</t>
  </si>
  <si>
    <t>Forecast lease balances</t>
  </si>
  <si>
    <t>Analyst assumption</t>
  </si>
  <si>
    <t>Owned aircraft additions</t>
  </si>
  <si>
    <t>Documents</t>
  </si>
  <si>
    <t>ROU growth less fleet growth</t>
  </si>
  <si>
    <t>Finance-lease aircraft</t>
  </si>
  <si>
    <t>Analyst assumption: lease balances stay broadly stable as ownership rises and damp leases are returned.</t>
  </si>
  <si>
    <t>Analyst assumption: annual owned additions; management gave direction, not yearly acquisition guidance.</t>
  </si>
  <si>
    <t>FY2026 Audited Consolidated Results; Q4 FY2026 Earnings Call Transcript.</t>
  </si>
  <si>
    <t>Audited consolidated lease liabilities used; management's ~INR 53,500 crore lease metric is narrower.</t>
  </si>
  <si>
    <t>Fleet, leases, working capital and finance schedules supporting cash flow and valuation.</t>
  </si>
  <si>
    <t>Working Capital and Finance Schedule</t>
  </si>
  <si>
    <t>Net operating working capital</t>
  </si>
  <si>
    <t>Net operating working capital / revenue</t>
  </si>
  <si>
    <t>Change in net operating working capital</t>
  </si>
  <si>
    <t>Cash capital expenditure</t>
  </si>
  <si>
    <t>Cash capital expenditure / revenue</t>
  </si>
  <si>
    <t>Finance Cost Schedule</t>
  </si>
  <si>
    <t>Borrowing growth</t>
  </si>
  <si>
    <t>Lease-adjusted gross debt</t>
  </si>
  <si>
    <t>Average lease-adjusted gross debt</t>
  </si>
  <si>
    <t>Finance-cost rate on average debt</t>
  </si>
  <si>
    <t>Valuation Date Liquidity Bridge</t>
  </si>
  <si>
    <t>Total liquidity</t>
  </si>
  <si>
    <t>Lease-adjusted net debt / (cash)</t>
  </si>
  <si>
    <t>Equity bridge treatment</t>
  </si>
  <si>
    <t>Base case linked to the operating model; finance costs are based on average lease-adjusted debt.</t>
  </si>
  <si>
    <t>Unlevered Free Cash Flow</t>
  </si>
  <si>
    <t>Cash flow before financing; lease liabilities are treated as debt in the equity bridge.</t>
  </si>
  <si>
    <t>Normalised tax rate</t>
  </si>
  <si>
    <t>Tax on EBIT</t>
  </si>
  <si>
    <t>NOPAT</t>
  </si>
  <si>
    <t>Unlevered free cash flow</t>
  </si>
  <si>
    <t>Unlevered free cash flow margin</t>
  </si>
  <si>
    <t>Discounted Cash Flow Valuation</t>
  </si>
  <si>
    <t>InterGlobe Aviation Limited | INR crore except per-share values</t>
  </si>
  <si>
    <t>Forecast Cash Flow</t>
  </si>
  <si>
    <t>Discount period</t>
  </si>
  <si>
    <t>years</t>
  </si>
  <si>
    <t>Discount factor</t>
  </si>
  <si>
    <t>Present value of cash flow</t>
  </si>
  <si>
    <t>WACC Assumptions</t>
  </si>
  <si>
    <t>Risk-free rate</t>
  </si>
  <si>
    <t>Beta</t>
  </si>
  <si>
    <t>Equity risk premium</t>
  </si>
  <si>
    <t>Cost of equity</t>
  </si>
  <si>
    <t>Pre-tax cost of debt</t>
  </si>
  <si>
    <t>Tax rate</t>
  </si>
  <si>
    <t>Debt weight</t>
  </si>
  <si>
    <t>WACC</t>
  </si>
  <si>
    <t>Terminal growth</t>
  </si>
  <si>
    <t>Valuation Bridge</t>
  </si>
  <si>
    <t>Present value of forecast cash flow</t>
  </si>
  <si>
    <t>Terminal-year cash flow</t>
  </si>
  <si>
    <t>Terminal value</t>
  </si>
  <si>
    <t>Present value of terminal value</t>
  </si>
  <si>
    <t>Enterprise value</t>
  </si>
  <si>
    <t>Equity value</t>
  </si>
  <si>
    <t>Diluted shares</t>
  </si>
  <si>
    <t>Implied value per share</t>
  </si>
  <si>
    <t>Terminal value / enterprise value</t>
  </si>
  <si>
    <t>DCF Sensitivity: Value per Share</t>
  </si>
  <si>
    <t>WACC / TGR</t>
  </si>
  <si>
    <t>Assumption</t>
  </si>
  <si>
    <t>Bear</t>
  </si>
  <si>
    <t>Base</t>
  </si>
  <si>
    <t>Bull</t>
  </si>
  <si>
    <t>Note</t>
  </si>
  <si>
    <t>Historical analysis, driver-based forecast and discounted cash flow valuation</t>
  </si>
  <si>
    <t>Key Outputs</t>
  </si>
  <si>
    <t>FY2026A revenue</t>
  </si>
  <si>
    <t>FY2031E revenue</t>
  </si>
  <si>
    <t>FY2031E EBIT margin</t>
  </si>
  <si>
    <t>FY2031E unlevered free cash flow</t>
  </si>
  <si>
    <t>Base-case implied value per share</t>
  </si>
  <si>
    <t>Model Flow</t>
  </si>
  <si>
    <t>Historical financials and operating KPIs</t>
  </si>
  <si>
    <t>Operating drivers and income statement</t>
  </si>
  <si>
    <t>Fleet, lease, working-capital and finance schedules</t>
  </si>
  <si>
    <t>Workbook Sections</t>
  </si>
  <si>
    <t>Sources and raw data</t>
  </si>
  <si>
    <t>Historical analysis</t>
  </si>
  <si>
    <t>Forecast model</t>
  </si>
  <si>
    <t>Cash flow and valuation</t>
  </si>
  <si>
    <t>Color Convention</t>
  </si>
  <si>
    <t>Editable assumptions and hardcoded inputs</t>
  </si>
  <si>
    <t>Scope</t>
  </si>
  <si>
    <t>Current market price</t>
  </si>
  <si>
    <t>InterGlobe Aviation Limited | Market-implied cash-flow expectations</t>
  </si>
  <si>
    <t>Market-Implied Valuation</t>
  </si>
  <si>
    <t>Market-implied equity value</t>
  </si>
  <si>
    <t>Market-implied enterprise value</t>
  </si>
  <si>
    <t>Base-case DCF enterprise value</t>
  </si>
  <si>
    <t>Required forecast UFCF factor</t>
  </si>
  <si>
    <t>Implied FY2031E UFCF</t>
  </si>
  <si>
    <t>Implied FY2031E UFCF margin</t>
  </si>
  <si>
    <t>Base-case FY2031E UFCF margin</t>
  </si>
  <si>
    <t>Implied margin difference</t>
  </si>
  <si>
    <t>Valuation Comparison</t>
  </si>
  <si>
    <t>Observed market price</t>
  </si>
  <si>
    <t>Base-case DCF value</t>
  </si>
  <si>
    <t>DCF premium / (discount)</t>
  </si>
  <si>
    <t>Interpretation</t>
  </si>
  <si>
    <t>Screener - InterGlobe Aviation</t>
  </si>
  <si>
    <t>Market price reference</t>
  </si>
  <si>
    <t>Screener company page</t>
  </si>
  <si>
    <t>Base case uses recent actual operating economics. FY2027 annual assumptions are analyst inputs, not company guidance; fuel and currency sensitivities are summarized separately.</t>
  </si>
  <si>
    <t>Market Data</t>
  </si>
  <si>
    <t>A factor below 1.0x indicates lower market-implied cash flow than the base case.</t>
  </si>
  <si>
    <t>FY2026 Audited Consolidated Results</t>
  </si>
  <si>
    <t>Reported CASK / EBIT reconciliation</t>
  </si>
  <si>
    <t>Management-reported free cash</t>
  </si>
  <si>
    <t>Lease-adjusted net debt for valuation</t>
  </si>
  <si>
    <t>Lease liabilities are treated as debt; only management-reported free cash is deducted. Restricted cash is excluded.</t>
  </si>
  <si>
    <t>IndiGo FY2026 results press release</t>
  </si>
  <si>
    <t>Less: lease-adjusted net debt (free cash basis)</t>
  </si>
  <si>
    <t>Indian Aviation Industry Context</t>
  </si>
  <si>
    <t>External demand and market-position benchmarks supporting capacity assumptions</t>
  </si>
  <si>
    <t>Calendar-year industry data is shown separately from IndiGo fiscal-year forecasts.</t>
  </si>
  <si>
    <t>2023A</t>
  </si>
  <si>
    <t>2024A</t>
  </si>
  <si>
    <t>2025A</t>
  </si>
  <si>
    <t>Source / read-across</t>
  </si>
  <si>
    <t>Industry Traffic</t>
  </si>
  <si>
    <t>Total passengers at Indian airports</t>
  </si>
  <si>
    <t>Ministry of Civil Aviation annual reports</t>
  </si>
  <si>
    <t>Growth</t>
  </si>
  <si>
    <t>Domestic passengers at Indian airports</t>
  </si>
  <si>
    <t>Total aircraft movements</t>
  </si>
  <si>
    <t>000 movements</t>
  </si>
  <si>
    <t>Market Position</t>
  </si>
  <si>
    <t>IndiGo domestic market share</t>
  </si>
  <si>
    <t>DGCA data, August 2025</t>
  </si>
  <si>
    <t>Model Read-Across</t>
  </si>
  <si>
    <t>FY2027E ASK growth</t>
  </si>
  <si>
    <t>FY2027E passenger growth</t>
  </si>
  <si>
    <t>Recent industry passenger growth is 4.8%; FY2027E capacity growth of 4.5% is broadly aligned with recent demand growth.</t>
  </si>
  <si>
    <t>Sources</t>
  </si>
  <si>
    <t>Ministry of Civil Aviation annual reports for 2024-25 and 2025; IndiGo October 2025 newsletter citing DGCA.</t>
  </si>
  <si>
    <t>Operating Scenarios</t>
  </si>
  <si>
    <t>InterGlobe Aviation Limited | FY2027 driver cases</t>
  </si>
  <si>
    <t>Base case links to the operating model; bear and bull cases flex operating drivers without changing WACC or terminal growth.</t>
  </si>
  <si>
    <t>FY2027 ASK growth</t>
  </si>
  <si>
    <t>FY2027 passenger PRASK growth</t>
  </si>
  <si>
    <t>FY2027 fuel CASK growth</t>
  </si>
  <si>
    <t>FY2027 revenue</t>
  </si>
  <si>
    <t>FY2027 operating cost</t>
  </si>
  <si>
    <t>Operating margin</t>
  </si>
  <si>
    <t>Market price as of</t>
  </si>
  <si>
    <t>Airline operating analysis, financial forecasting, unlevered cash flow, WACC and DCF valuation.</t>
  </si>
  <si>
    <t>Industry context and historical analysis</t>
  </si>
  <si>
    <t>Operating scenarios, DCF and reverse DCF</t>
  </si>
  <si>
    <t>Sheets 01 to 04</t>
  </si>
  <si>
    <t>Ex-fuel CASK (including FX)</t>
  </si>
  <si>
    <t>Ex-fuel CASK growth (including FX)</t>
  </si>
  <si>
    <t>FY2027 ex-fuel CASK growth (including FX)</t>
  </si>
  <si>
    <t>Reconciliations</t>
  </si>
  <si>
    <t>Balance Sheet: Fleet and Lease Schedules</t>
  </si>
  <si>
    <t>07-Sep-2026 close</t>
  </si>
  <si>
    <t>InterGlobe Aviation Equity Research Model</t>
  </si>
  <si>
    <t>Independent equity research model; not investment advice.</t>
  </si>
  <si>
    <t>Sheet 05</t>
  </si>
  <si>
    <t>Sheets 06 to 08</t>
  </si>
  <si>
    <t>Sheets 09 to 12</t>
  </si>
  <si>
    <t>FY2027 operating scenarios use analyst assumptions. Valuation sensitivity is on 11_DCF.</t>
  </si>
  <si>
    <t>Operating EBIT excluding other income</t>
  </si>
  <si>
    <t>Asset reinvestment</t>
  </si>
  <si>
    <t>Forecast reinvestment</t>
  </si>
  <si>
    <t>D&amp;A plus change in net PPE and ROU assets; assumes no disposals, impairments or FX revaluations.</t>
  </si>
  <si>
    <t>Historical reinvestment</t>
  </si>
  <si>
    <t>Historical columns show cash capex only; they exclude non-cash lease additions and are not comparable with forecast UFCF.</t>
  </si>
  <si>
    <t>31-Mar-2026 valuation basis. Lease debt and estimated owned/leased asset reinvestment are included.</t>
  </si>
  <si>
    <t>Enterprise value less net debt</t>
  </si>
  <si>
    <t>WACC exceeds terminal growth</t>
  </si>
  <si>
    <t>Other income treatment</t>
  </si>
  <si>
    <t>All other income excluded for valuation; operating compensation is not separately forecast.</t>
  </si>
  <si>
    <t>Scales forecast and terminal UFCF uniformly; September price compared with a March valuation basis.</t>
  </si>
  <si>
    <t>Market price (07-Sep-2026)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</si>
</sst>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#,##0.0;\(#,##0.0\);\-"/>
    <numFmt numFmtId="165" formatCode="0.00;\(0.00\);\-"/>
    <numFmt numFmtId="166" formatCode="0.0%;\(0.0%\);\-"/>
    <numFmt numFmtId="167" formatCode="#,##0;\(#,##0\);\-"/>
    <numFmt numFmtId="168" formatCode="0.0\x;\(0.0\x\);\-"/>
    <numFmt numFmtId="169" formatCode="0.0;\(0.0\);\-"/>
    <numFmt numFmtId="170" formatCode="0.000;\(0.000\);\-"/>
    <numFmt numFmtId="171" formatCode="0.000\x;\(0.000\x\);\-"/>
    <numFmt numFmtId="172" formatCode="0.00\x;\(0.00\x\);\-"/>
    <numFmt numFmtId="173" formatCode="#,##0.00;\(#,##0.00\);\-"/>
    <numFmt numFmtId="174" formatCode="#,##0.0"/>
    <numFmt numFmtId="176" formatCode="#,##0.00;\(#,##0.00\);0.00"/>
  </numFmts>
  <fonts count="42">
    <font>
      <sz val="11"/>
      <name val="Carlito"/>
    </font>
    <font>
      <sz val="10"/>
      <name val="Aptos"/>
    </font>
    <font>
      <b/>
      <sz val="10"/>
      <color rgb="FFFFFFFF"/>
      <name val="Aptos"/>
    </font>
    <font>
      <b/>
      <sz val="10"/>
      <name val="Aptos"/>
    </font>
    <font>
      <i/>
      <sz val="10"/>
      <color rgb="FF666666"/>
      <name val="Aptos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b/>
      <sz val="10"/>
      <color rgb="FF1F1F1F"/>
      <name val="Aptos"/>
    </font>
    <font>
      <i/>
      <sz val="10"/>
      <color rgb="FF1F1F1F"/>
      <name val="Aptos"/>
    </font>
    <font>
      <sz val="10"/>
      <color rgb="FF1F1F1F"/>
      <name val="Aptos"/>
    </font>
    <font>
      <sz val="10"/>
      <color rgb="FF0000FF"/>
      <name val="Aptos"/>
    </font>
    <font>
      <b/>
      <sz val="10"/>
      <color rgb="FF0000FF"/>
      <name val="Aptos"/>
    </font>
    <font>
      <b/>
      <sz val="10"/>
      <color rgb="FF008000"/>
      <name val="Aptos"/>
    </font>
    <font>
      <sz val="8"/>
      <color rgb="FF1F1F1F"/>
      <name val="Aptos"/>
    </font>
    <font>
      <sz val="10"/>
      <color rgb="FF000000"/>
      <name val="Aptos"/>
    </font>
    <font>
      <i/>
      <sz val="10"/>
      <color rgb="FF5F6368"/>
      <name val="Aptos"/>
    </font>
    <font>
      <i/>
      <sz val="9"/>
      <color rgb="FF5F6368"/>
      <name val="Aptos"/>
    </font>
    <font>
      <b/>
      <sz val="10"/>
      <color rgb="FF000000"/>
      <name val="Aptos"/>
    </font>
    <font>
      <i/>
      <sz val="8"/>
      <color rgb="FF000000"/>
      <name val="Aptos"/>
    </font>
    <font>
      <sz val="10"/>
      <color rgb="FF008000"/>
      <name val="Aptos"/>
    </font>
    <font>
      <b/>
      <sz val="10"/>
      <color rgb="FF365F54"/>
      <name val="Aptos"/>
    </font>
    <font>
      <b/>
      <sz val="10"/>
      <color rgb="FF404040"/>
      <name val="Aptos"/>
    </font>
    <font>
      <i/>
      <sz val="9"/>
      <color rgb="FF666666"/>
      <name val="Aptos"/>
    </font>
    <font>
      <b/>
      <sz val="11"/>
      <color rgb="FF234E3F"/>
      <name val="Aptos"/>
    </font>
    <font>
      <b/>
      <sz val="10"/>
      <color rgb="FF234E3F"/>
      <name val="Aptos"/>
    </font>
    <font>
      <b/>
      <sz val="9"/>
      <color rgb="FF1F1F1F"/>
      <name val="Aptos"/>
    </font>
    <font>
      <sz val="9"/>
      <color rgb="FF1F1F1F"/>
      <name val="Carlito"/>
    </font>
    <font>
      <b/>
      <sz val="9"/>
      <color rgb="FF1F1F1F"/>
      <name val="Carlito"/>
    </font>
    <font>
      <i/>
      <sz val="9"/>
      <color rgb="FF375623"/>
      <name val="Carlito"/>
    </font>
    <font>
      <sz val="10"/>
      <color rgb="FF000000"/>
      <name val="Arial"/>
      <family val="2"/>
    </font>
    <font>
      <b/>
      <sz val="15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0000FF"/>
      <name val="Arial"/>
      <family val="2"/>
    </font>
    <font>
      <b/>
      <sz val="10"/>
      <color rgb="FF000000"/>
      <name val="Arial"/>
      <family val="2"/>
    </font>
    <font>
      <sz val="10"/>
      <color rgb="FF008000"/>
      <name val="Arial"/>
      <family val="2"/>
    </font>
    <font>
      <b/>
      <sz val="10"/>
      <color rgb="FF2F343B"/>
      <name val="Arial"/>
      <family val="2"/>
    </font>
    <font>
      <i/>
      <sz val="10"/>
      <color rgb="FF000000"/>
      <name val="Arial"/>
      <family val="2"/>
    </font>
    <font>
      <sz val="10"/>
      <color rgb="FF0000FF"/>
      <name val="Arial"/>
      <family val="2"/>
    </font>
    <font>
      <b/>
      <sz val="11"/>
      <color rgb="FFFFFFFF"/>
      <name val="Carlito"/>
    </font>
    <font>
      <b/>
      <sz val="10"/>
      <color rgb="FF008000"/>
      <name val="Arial"/>
      <family val="2"/>
    </font>
    <font>
      <i/>
      <sz val="10"/>
      <color rgb="FF555555"/>
      <name val="Arial"/>
      <family val="2"/>
    </font>
    <font>
      <i/>
      <sz val="11"/>
      <color rgb="FF555555"/>
      <name val="Carlito"/>
    </font>
  </fonts>
  <fills count="32">
    <fill>
      <patternFill patternType="none"/>
    </fill>
    <fill>
      <patternFill patternType="gray125"/>
    </fill>
    <fill>
      <patternFill patternType="solid">
        <fgColor rgb="FF4F6D65"/>
        <bgColor indexed="64"/>
      </patternFill>
    </fill>
    <fill>
      <patternFill patternType="solid">
        <fgColor rgb="FFE9E6E0"/>
        <bgColor indexed="64"/>
      </patternFill>
    </fill>
    <fill>
      <patternFill patternType="solid">
        <fgColor rgb="FFE3E8E1"/>
        <bgColor indexed="64"/>
      </patternFill>
    </fill>
    <fill>
      <patternFill patternType="solid">
        <fgColor rgb="FFF3F1ED"/>
        <bgColor indexed="64"/>
      </patternFill>
    </fill>
    <fill>
      <patternFill patternType="solid">
        <fgColor rgb="FFE7EFEA"/>
        <bgColor indexed="64"/>
      </patternFill>
    </fill>
    <fill>
      <patternFill patternType="solid">
        <fgColor rgb="FFEFE8D8"/>
        <bgColor indexed="64"/>
      </patternFill>
    </fill>
    <fill>
      <patternFill patternType="solid">
        <fgColor rgb="FFF4E2DC"/>
        <bgColor indexed="64"/>
      </patternFill>
    </fill>
    <fill>
      <patternFill patternType="solid">
        <fgColor rgb="FFE5EBF0"/>
        <bgColor indexed="64"/>
      </patternFill>
    </fill>
    <fill>
      <patternFill patternType="solid">
        <fgColor rgb="FFF3E7C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4DF"/>
        <bgColor indexed="64"/>
      </patternFill>
    </fill>
    <fill>
      <patternFill patternType="solid">
        <fgColor rgb="FF6F8F86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DDEBDD"/>
        <bgColor indexed="64"/>
      </patternFill>
    </fill>
    <fill>
      <patternFill patternType="solid">
        <fgColor rgb="FFE9ECE8"/>
        <bgColor indexed="64"/>
      </patternFill>
    </fill>
    <fill>
      <patternFill patternType="solid">
        <fgColor rgb="FF355E4D"/>
        <bgColor indexed="64"/>
      </patternFill>
    </fill>
    <fill>
      <patternFill patternType="solid">
        <fgColor rgb="FF234E3F"/>
        <bgColor indexed="64"/>
      </patternFill>
    </fill>
    <fill>
      <patternFill patternType="solid">
        <fgColor rgb="FFE8EFEA"/>
        <bgColor indexed="64"/>
      </patternFill>
    </fill>
    <fill>
      <patternFill patternType="solid">
        <fgColor rgb="FFFFF9E6"/>
        <bgColor indexed="64"/>
      </patternFill>
    </fill>
    <fill>
      <patternFill patternType="solid">
        <fgColor rgb="FF1F4E3D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2F343B"/>
        <bgColor indexed="64"/>
      </patternFill>
    </fill>
    <fill>
      <patternFill patternType="solid">
        <fgColor rgb="FFF2F0EA"/>
        <bgColor indexed="64"/>
      </patternFill>
    </fill>
    <fill>
      <patternFill patternType="solid">
        <fgColor rgb="FF2F5D50"/>
        <bgColor indexed="64"/>
      </patternFill>
    </fill>
    <fill>
      <patternFill patternType="solid">
        <fgColor rgb="FFE8EFEC"/>
        <bgColor indexed="64"/>
      </patternFill>
    </fill>
    <fill>
      <patternFill patternType="solid">
        <fgColor rgb="FFFFF8D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8F0ED"/>
        <bgColor indexed="64"/>
      </patternFill>
    </fill>
    <fill>
      <patternFill patternType="solid">
        <fgColor rgb="FF1F4E46"/>
        <bgColor indexed="64"/>
      </patternFill>
    </fill>
    <fill>
      <patternFill patternType="solid">
        <fgColor rgb="FF3F6B60"/>
        <bgColor indexed="64"/>
      </patternFill>
    </fill>
  </fills>
  <borders count="27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rgb="FF7A7A7A"/>
      </bottom>
      <diagonal/>
    </border>
    <border>
      <left/>
      <right/>
      <top style="thin">
        <color rgb="FFA8A8A8"/>
      </top>
      <bottom/>
      <diagonal/>
    </border>
    <border>
      <left/>
      <right/>
      <top/>
      <bottom style="medium">
        <color rgb="FF234E3F"/>
      </bottom>
      <diagonal/>
    </border>
    <border>
      <left style="medium">
        <color rgb="FF7A9B88"/>
      </left>
      <right/>
      <top/>
      <bottom/>
      <diagonal/>
    </border>
    <border>
      <left style="medium">
        <color rgb="FF7A9B88"/>
      </left>
      <right/>
      <top/>
      <bottom style="medium">
        <color rgb="FF234E3F"/>
      </bottom>
      <diagonal/>
    </border>
    <border>
      <left/>
      <right/>
      <top style="thin">
        <color rgb="FF7A9B88"/>
      </top>
      <bottom/>
      <diagonal/>
    </border>
    <border>
      <left style="medium">
        <color rgb="FF7A9B88"/>
      </left>
      <right/>
      <top style="thin">
        <color rgb="FF7A9B88"/>
      </top>
      <bottom/>
      <diagonal/>
    </border>
    <border>
      <left/>
      <right/>
      <top/>
      <bottom style="medium">
        <color rgb="FF1F4E3D"/>
      </bottom>
      <diagonal/>
    </border>
    <border>
      <left/>
      <right/>
      <top style="medium">
        <color rgb="FF1F4E3D"/>
      </top>
      <bottom style="thin">
        <color rgb="FF7F8C8D"/>
      </bottom>
      <diagonal/>
    </border>
    <border>
      <left/>
      <right/>
      <top style="thin">
        <color rgb="FF7F8C8D"/>
      </top>
      <bottom/>
      <diagonal/>
    </border>
    <border>
      <left/>
      <right/>
      <top/>
      <bottom style="thin">
        <color rgb="FFD9D9D9"/>
      </bottom>
      <diagonal/>
    </border>
    <border>
      <left/>
      <right/>
      <top style="medium">
        <color rgb="FF1F4E3D"/>
      </top>
      <bottom/>
      <diagonal/>
    </border>
    <border>
      <left/>
      <right/>
      <top/>
      <bottom style="thick">
        <color rgb="FF2F343B"/>
      </bottom>
      <diagonal/>
    </border>
    <border>
      <left/>
      <right/>
      <top/>
      <bottom style="thin">
        <color rgb="FFB7B7B7"/>
      </bottom>
      <diagonal/>
    </border>
    <border>
      <left/>
      <right/>
      <top/>
      <bottom style="medium">
        <color rgb="FF23483D"/>
      </bottom>
      <diagonal/>
    </border>
    <border>
      <left/>
      <right/>
      <top style="medium">
        <color rgb="FF23483D"/>
      </top>
      <bottom/>
      <diagonal/>
    </border>
    <border>
      <left/>
      <right/>
      <top style="medium">
        <color rgb="FF23483D"/>
      </top>
      <bottom style="thin">
        <color rgb="FFA6A6A6"/>
      </bottom>
      <diagonal/>
    </border>
    <border>
      <left/>
      <right/>
      <top style="thin">
        <color rgb="FF7F7F7F"/>
      </top>
      <bottom/>
      <diagonal/>
    </border>
    <border>
      <left/>
      <right/>
      <top/>
      <bottom style="medium">
        <color rgb="FF2F343B"/>
      </bottom>
      <diagonal/>
    </border>
    <border>
      <left/>
      <right/>
      <top/>
      <bottom style="thin">
        <color rgb="FFAAB7B2"/>
      </bottom>
      <diagonal/>
    </border>
    <border>
      <left/>
      <right/>
      <top/>
      <bottom style="medium">
        <color rgb="FF2F5D50"/>
      </bottom>
      <diagonal/>
    </border>
    <border>
      <left/>
      <right/>
      <top/>
      <bottom style="thin">
        <color rgb="FFA6A6A6"/>
      </bottom>
      <diagonal/>
    </border>
    <border>
      <left/>
      <right/>
      <top style="medium">
        <color rgb="FF2F343B"/>
      </top>
      <bottom style="medium">
        <color rgb="FF2F343B"/>
      </bottom>
      <diagonal/>
    </border>
    <border>
      <left/>
      <right/>
      <top style="thin">
        <color rgb="FF555555"/>
      </top>
      <bottom/>
      <diagonal/>
    </border>
  </borders>
  <cellStyleXfs count="1">
    <xf numFmtId="0" fontId="0" fillId="0" borderId="0"/>
  </cellStyleXfs>
  <cellXfs count="232">
    <xf numFmtId="0" fontId="0" fillId="0" borderId="0" xfId="0"/>
    <xf numFmtId="0" fontId="7" fillId="0" borderId="0" xfId="0" applyFont="1"/>
    <xf numFmtId="0" fontId="9" fillId="0" borderId="0" xfId="0" applyFont="1"/>
    <xf numFmtId="0" fontId="7" fillId="3" borderId="0" xfId="0" applyFont="1" applyFill="1"/>
    <xf numFmtId="0" fontId="7" fillId="3" borderId="0" xfId="0" applyFont="1" applyFill="1" applyAlignment="1">
      <alignment horizontal="center"/>
    </xf>
    <xf numFmtId="0" fontId="7" fillId="4" borderId="0" xfId="0" applyFont="1" applyFill="1"/>
    <xf numFmtId="164" fontId="9" fillId="0" borderId="0" xfId="0" applyNumberFormat="1" applyFont="1"/>
    <xf numFmtId="164" fontId="7" fillId="0" borderId="0" xfId="0" applyNumberFormat="1" applyFont="1"/>
    <xf numFmtId="164" fontId="7" fillId="4" borderId="0" xfId="0" applyNumberFormat="1" applyFont="1" applyFill="1"/>
    <xf numFmtId="164" fontId="10" fillId="0" borderId="0" xfId="0" applyNumberFormat="1" applyFont="1"/>
    <xf numFmtId="164" fontId="11" fillId="0" borderId="0" xfId="0" applyNumberFormat="1" applyFont="1"/>
    <xf numFmtId="165" fontId="10" fillId="0" borderId="0" xfId="0" applyNumberFormat="1" applyFont="1"/>
    <xf numFmtId="0" fontId="9" fillId="0" borderId="0" xfId="0" applyFont="1" applyAlignment="1">
      <alignment wrapText="1"/>
    </xf>
    <xf numFmtId="0" fontId="9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9" fillId="0" borderId="0" xfId="0" applyFont="1" applyAlignment="1">
      <alignment vertical="center" wrapText="1"/>
    </xf>
    <xf numFmtId="167" fontId="10" fillId="0" borderId="0" xfId="0" applyNumberFormat="1" applyFont="1"/>
    <xf numFmtId="167" fontId="9" fillId="0" borderId="0" xfId="0" applyNumberFormat="1" applyFont="1"/>
    <xf numFmtId="0" fontId="7" fillId="0" borderId="1" xfId="0" applyFont="1" applyBorder="1"/>
    <xf numFmtId="166" fontId="7" fillId="0" borderId="1" xfId="0" applyNumberFormat="1" applyFont="1" applyBorder="1"/>
    <xf numFmtId="165" fontId="7" fillId="0" borderId="1" xfId="0" applyNumberFormat="1" applyFont="1" applyBorder="1"/>
    <xf numFmtId="167" fontId="7" fillId="0" borderId="1" xfId="0" applyNumberFormat="1" applyFont="1" applyBorder="1"/>
    <xf numFmtId="0" fontId="13" fillId="0" borderId="0" xfId="0" applyFont="1" applyAlignment="1">
      <alignment horizontal="center" wrapText="1"/>
    </xf>
    <xf numFmtId="0" fontId="14" fillId="0" borderId="0" xfId="0" applyFont="1" applyAlignment="1">
      <alignment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>
      <alignment horizontal="right" vertical="center"/>
    </xf>
    <xf numFmtId="0" fontId="15" fillId="0" borderId="0" xfId="0" applyFont="1" applyAlignment="1">
      <alignment horizontal="left"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horizontal="left" vertical="center" wrapText="1"/>
    </xf>
    <xf numFmtId="0" fontId="16" fillId="0" borderId="0" xfId="0" applyFont="1" applyAlignment="1">
      <alignment vertical="center" wrapText="1"/>
    </xf>
    <xf numFmtId="0" fontId="17" fillId="3" borderId="3" xfId="0" applyFont="1" applyFill="1" applyBorder="1" applyAlignment="1">
      <alignment horizontal="left" vertical="center"/>
    </xf>
    <xf numFmtId="0" fontId="17" fillId="3" borderId="3" xfId="0" applyFont="1" applyFill="1" applyBorder="1" applyAlignment="1">
      <alignment horizontal="right" vertical="center"/>
    </xf>
    <xf numFmtId="0" fontId="17" fillId="5" borderId="0" xfId="0" applyFont="1" applyFill="1" applyAlignment="1">
      <alignment horizontal="left" vertical="center" wrapText="1"/>
    </xf>
    <xf numFmtId="0" fontId="18" fillId="6" borderId="0" xfId="0" applyFont="1" applyFill="1" applyAlignment="1">
      <alignment horizontal="center" vertical="center" wrapText="1"/>
    </xf>
    <xf numFmtId="0" fontId="18" fillId="7" borderId="0" xfId="0" applyFont="1" applyFill="1" applyAlignment="1">
      <alignment horizontal="center" vertical="center" wrapText="1"/>
    </xf>
    <xf numFmtId="0" fontId="18" fillId="8" borderId="0" xfId="0" applyFont="1" applyFill="1" applyAlignment="1">
      <alignment horizontal="center" vertical="center" wrapText="1"/>
    </xf>
    <xf numFmtId="0" fontId="18" fillId="9" borderId="0" xfId="0" applyFont="1" applyFill="1" applyAlignment="1">
      <alignment horizontal="center" vertical="center" wrapText="1"/>
    </xf>
    <xf numFmtId="0" fontId="18" fillId="10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right" vertical="center"/>
    </xf>
    <xf numFmtId="0" fontId="14" fillId="0" borderId="0" xfId="0" applyFont="1" applyAlignment="1">
      <alignment horizontal="left" vertical="center" indent="1"/>
    </xf>
    <xf numFmtId="0" fontId="17" fillId="0" borderId="0" xfId="0" applyFont="1" applyAlignment="1">
      <alignment horizontal="left" vertical="center" indent="1"/>
    </xf>
    <xf numFmtId="166" fontId="14" fillId="0" borderId="0" xfId="0" applyNumberFormat="1" applyFont="1" applyAlignment="1">
      <alignment horizontal="right" vertical="center"/>
    </xf>
    <xf numFmtId="165" fontId="14" fillId="0" borderId="0" xfId="0" applyNumberFormat="1" applyFont="1" applyAlignment="1">
      <alignment horizontal="right" vertical="center"/>
    </xf>
    <xf numFmtId="167" fontId="14" fillId="0" borderId="0" xfId="0" applyNumberFormat="1" applyFont="1" applyAlignment="1">
      <alignment horizontal="right" vertical="center"/>
    </xf>
    <xf numFmtId="168" fontId="14" fillId="0" borderId="0" xfId="0" applyNumberFormat="1" applyFont="1" applyAlignment="1">
      <alignment horizontal="right" vertical="center"/>
    </xf>
    <xf numFmtId="164" fontId="14" fillId="0" borderId="0" xfId="0" applyNumberFormat="1" applyFont="1" applyAlignment="1">
      <alignment horizontal="right" vertical="center"/>
    </xf>
    <xf numFmtId="164" fontId="19" fillId="0" borderId="0" xfId="0" applyNumberFormat="1" applyFont="1" applyAlignment="1">
      <alignment horizontal="right" vertical="center"/>
    </xf>
    <xf numFmtId="169" fontId="19" fillId="0" borderId="0" xfId="0" applyNumberFormat="1" applyFont="1" applyAlignment="1">
      <alignment horizontal="right" vertical="center"/>
    </xf>
    <xf numFmtId="167" fontId="19" fillId="0" borderId="0" xfId="0" applyNumberFormat="1" applyFont="1" applyAlignment="1">
      <alignment horizontal="right" vertical="center"/>
    </xf>
    <xf numFmtId="166" fontId="19" fillId="0" borderId="0" xfId="0" applyNumberFormat="1" applyFont="1" applyAlignment="1">
      <alignment horizontal="right" vertical="center"/>
    </xf>
    <xf numFmtId="165" fontId="19" fillId="0" borderId="0" xfId="0" applyNumberFormat="1" applyFont="1" applyAlignment="1">
      <alignment horizontal="right" vertical="center"/>
    </xf>
    <xf numFmtId="0" fontId="17" fillId="0" borderId="4" xfId="0" applyFont="1" applyBorder="1" applyAlignment="1">
      <alignment horizontal="left" vertical="center" indent="1"/>
    </xf>
    <xf numFmtId="0" fontId="14" fillId="0" borderId="4" xfId="0" applyFont="1" applyBorder="1" applyAlignment="1">
      <alignment horizontal="left" vertical="center"/>
    </xf>
    <xf numFmtId="165" fontId="14" fillId="0" borderId="4" xfId="0" applyNumberFormat="1" applyFont="1" applyBorder="1" applyAlignment="1">
      <alignment horizontal="right" vertical="center"/>
    </xf>
    <xf numFmtId="166" fontId="14" fillId="0" borderId="4" xfId="0" applyNumberFormat="1" applyFont="1" applyBorder="1" applyAlignment="1">
      <alignment horizontal="right" vertical="center"/>
    </xf>
    <xf numFmtId="164" fontId="14" fillId="0" borderId="4" xfId="0" applyNumberFormat="1" applyFont="1" applyBorder="1" applyAlignment="1">
      <alignment horizontal="right" vertical="center"/>
    </xf>
    <xf numFmtId="164" fontId="17" fillId="0" borderId="0" xfId="0" applyNumberFormat="1" applyFont="1"/>
    <xf numFmtId="164" fontId="17" fillId="4" borderId="0" xfId="0" applyNumberFormat="1" applyFont="1" applyFill="1"/>
    <xf numFmtId="0" fontId="1" fillId="11" borderId="0" xfId="0" applyFont="1" applyFill="1"/>
    <xf numFmtId="0" fontId="3" fillId="12" borderId="2" xfId="0" applyFont="1" applyFill="1" applyBorder="1"/>
    <xf numFmtId="0" fontId="2" fillId="13" borderId="0" xfId="0" applyFont="1" applyFill="1"/>
    <xf numFmtId="0" fontId="3" fillId="11" borderId="0" xfId="0" applyFont="1" applyFill="1"/>
    <xf numFmtId="164" fontId="1" fillId="11" borderId="0" xfId="0" applyNumberFormat="1" applyFont="1" applyFill="1"/>
    <xf numFmtId="164" fontId="3" fillId="11" borderId="0" xfId="0" applyNumberFormat="1" applyFont="1" applyFill="1"/>
    <xf numFmtId="166" fontId="1" fillId="11" borderId="0" xfId="0" applyNumberFormat="1" applyFont="1" applyFill="1"/>
    <xf numFmtId="164" fontId="19" fillId="11" borderId="0" xfId="0" applyNumberFormat="1" applyFont="1" applyFill="1"/>
    <xf numFmtId="164" fontId="12" fillId="11" borderId="0" xfId="0" applyNumberFormat="1" applyFont="1" applyFill="1"/>
    <xf numFmtId="166" fontId="19" fillId="11" borderId="0" xfId="0" applyNumberFormat="1" applyFont="1" applyFill="1"/>
    <xf numFmtId="166" fontId="10" fillId="11" borderId="0" xfId="0" applyNumberFormat="1" applyFont="1" applyFill="1"/>
    <xf numFmtId="166" fontId="14" fillId="11" borderId="0" xfId="0" applyNumberFormat="1" applyFont="1" applyFill="1"/>
    <xf numFmtId="0" fontId="3" fillId="14" borderId="2" xfId="0" applyFont="1" applyFill="1" applyBorder="1"/>
    <xf numFmtId="0" fontId="1" fillId="14" borderId="0" xfId="0" applyFont="1" applyFill="1"/>
    <xf numFmtId="0" fontId="3" fillId="15" borderId="2" xfId="0" applyFont="1" applyFill="1" applyBorder="1"/>
    <xf numFmtId="0" fontId="1" fillId="15" borderId="0" xfId="0" applyFont="1" applyFill="1"/>
    <xf numFmtId="167" fontId="19" fillId="11" borderId="0" xfId="0" applyNumberFormat="1" applyFont="1" applyFill="1"/>
    <xf numFmtId="167" fontId="1" fillId="11" borderId="0" xfId="0" applyNumberFormat="1" applyFont="1" applyFill="1"/>
    <xf numFmtId="167" fontId="10" fillId="11" borderId="0" xfId="0" applyNumberFormat="1" applyFont="1" applyFill="1"/>
    <xf numFmtId="167" fontId="12" fillId="11" borderId="0" xfId="0" applyNumberFormat="1" applyFont="1" applyFill="1"/>
    <xf numFmtId="167" fontId="3" fillId="11" borderId="0" xfId="0" applyNumberFormat="1" applyFont="1" applyFill="1"/>
    <xf numFmtId="165" fontId="1" fillId="11" borderId="0" xfId="0" applyNumberFormat="1" applyFont="1" applyFill="1"/>
    <xf numFmtId="165" fontId="19" fillId="11" borderId="0" xfId="0" applyNumberFormat="1" applyFont="1" applyFill="1"/>
    <xf numFmtId="165" fontId="3" fillId="11" borderId="0" xfId="0" applyNumberFormat="1" applyFont="1" applyFill="1"/>
    <xf numFmtId="164" fontId="10" fillId="11" borderId="0" xfId="0" applyNumberFormat="1" applyFont="1" applyFill="1"/>
    <xf numFmtId="0" fontId="14" fillId="11" borderId="0" xfId="0" applyFont="1" applyFill="1"/>
    <xf numFmtId="0" fontId="21" fillId="16" borderId="0" xfId="0" applyFont="1" applyFill="1"/>
    <xf numFmtId="0" fontId="2" fillId="17" borderId="0" xfId="0" applyFont="1" applyFill="1"/>
    <xf numFmtId="0" fontId="22" fillId="11" borderId="0" xfId="0" applyFont="1" applyFill="1"/>
    <xf numFmtId="0" fontId="2" fillId="18" borderId="5" xfId="0" applyFont="1" applyFill="1" applyBorder="1" applyAlignment="1">
      <alignment horizontal="right"/>
    </xf>
    <xf numFmtId="0" fontId="23" fillId="11" borderId="0" xfId="0" applyFont="1" applyFill="1"/>
    <xf numFmtId="0" fontId="24" fillId="19" borderId="0" xfId="0" applyFont="1" applyFill="1" applyAlignment="1">
      <alignment horizontal="center"/>
    </xf>
    <xf numFmtId="0" fontId="21" fillId="16" borderId="0" xfId="0" applyFont="1" applyFill="1" applyAlignment="1">
      <alignment horizontal="center"/>
    </xf>
    <xf numFmtId="164" fontId="14" fillId="11" borderId="0" xfId="0" applyNumberFormat="1" applyFont="1" applyFill="1" applyAlignment="1">
      <alignment horizontal="right"/>
    </xf>
    <xf numFmtId="166" fontId="14" fillId="11" borderId="0" xfId="0" applyNumberFormat="1" applyFont="1" applyFill="1" applyAlignment="1">
      <alignment horizontal="right"/>
    </xf>
    <xf numFmtId="164" fontId="2" fillId="17" borderId="0" xfId="0" applyNumberFormat="1" applyFont="1" applyFill="1" applyAlignment="1">
      <alignment horizontal="right"/>
    </xf>
    <xf numFmtId="164" fontId="19" fillId="11" borderId="0" xfId="0" applyNumberFormat="1" applyFont="1" applyFill="1" applyAlignment="1">
      <alignment horizontal="right"/>
    </xf>
    <xf numFmtId="166" fontId="19" fillId="11" borderId="0" xfId="0" applyNumberFormat="1" applyFont="1" applyFill="1" applyAlignment="1">
      <alignment horizontal="right"/>
    </xf>
    <xf numFmtId="0" fontId="17" fillId="11" borderId="0" xfId="0" applyFont="1" applyFill="1" applyAlignment="1">
      <alignment horizontal="center"/>
    </xf>
    <xf numFmtId="169" fontId="14" fillId="11" borderId="0" xfId="0" applyNumberFormat="1" applyFont="1" applyFill="1" applyAlignment="1">
      <alignment horizontal="right"/>
    </xf>
    <xf numFmtId="166" fontId="10" fillId="20" borderId="0" xfId="0" applyNumberFormat="1" applyFont="1" applyFill="1" applyAlignment="1">
      <alignment horizontal="right"/>
    </xf>
    <xf numFmtId="164" fontId="10" fillId="20" borderId="0" xfId="0" applyNumberFormat="1" applyFont="1" applyFill="1" applyAlignment="1">
      <alignment horizontal="right"/>
    </xf>
    <xf numFmtId="0" fontId="2" fillId="18" borderId="7" xfId="0" applyFont="1" applyFill="1" applyBorder="1" applyAlignment="1">
      <alignment horizontal="right"/>
    </xf>
    <xf numFmtId="0" fontId="24" fillId="19" borderId="6" xfId="0" applyFont="1" applyFill="1" applyBorder="1" applyAlignment="1">
      <alignment horizontal="center"/>
    </xf>
    <xf numFmtId="0" fontId="14" fillId="11" borderId="6" xfId="0" applyFont="1" applyFill="1" applyBorder="1"/>
    <xf numFmtId="0" fontId="2" fillId="17" borderId="6" xfId="0" applyFont="1" applyFill="1" applyBorder="1"/>
    <xf numFmtId="164" fontId="19" fillId="11" borderId="6" xfId="0" applyNumberFormat="1" applyFont="1" applyFill="1" applyBorder="1" applyAlignment="1">
      <alignment horizontal="right"/>
    </xf>
    <xf numFmtId="166" fontId="19" fillId="11" borderId="6" xfId="0" applyNumberFormat="1" applyFont="1" applyFill="1" applyBorder="1" applyAlignment="1">
      <alignment horizontal="right"/>
    </xf>
    <xf numFmtId="164" fontId="14" fillId="11" borderId="6" xfId="0" applyNumberFormat="1" applyFont="1" applyFill="1" applyBorder="1" applyAlignment="1">
      <alignment horizontal="right"/>
    </xf>
    <xf numFmtId="164" fontId="2" fillId="17" borderId="6" xfId="0" applyNumberFormat="1" applyFont="1" applyFill="1" applyBorder="1" applyAlignment="1">
      <alignment horizontal="right"/>
    </xf>
    <xf numFmtId="166" fontId="14" fillId="11" borderId="6" xfId="0" applyNumberFormat="1" applyFont="1" applyFill="1" applyBorder="1" applyAlignment="1">
      <alignment horizontal="right"/>
    </xf>
    <xf numFmtId="166" fontId="10" fillId="20" borderId="6" xfId="0" applyNumberFormat="1" applyFont="1" applyFill="1" applyBorder="1" applyAlignment="1">
      <alignment horizontal="right"/>
    </xf>
    <xf numFmtId="164" fontId="10" fillId="20" borderId="6" xfId="0" applyNumberFormat="1" applyFont="1" applyFill="1" applyBorder="1" applyAlignment="1">
      <alignment horizontal="right"/>
    </xf>
    <xf numFmtId="169" fontId="14" fillId="11" borderId="6" xfId="0" applyNumberFormat="1" applyFont="1" applyFill="1" applyBorder="1" applyAlignment="1">
      <alignment horizontal="right"/>
    </xf>
    <xf numFmtId="0" fontId="17" fillId="11" borderId="6" xfId="0" applyFont="1" applyFill="1" applyBorder="1" applyAlignment="1">
      <alignment horizontal="center"/>
    </xf>
    <xf numFmtId="0" fontId="17" fillId="11" borderId="8" xfId="0" applyFont="1" applyFill="1" applyBorder="1"/>
    <xf numFmtId="164" fontId="17" fillId="11" borderId="8" xfId="0" applyNumberFormat="1" applyFont="1" applyFill="1" applyBorder="1" applyAlignment="1">
      <alignment horizontal="right"/>
    </xf>
    <xf numFmtId="164" fontId="17" fillId="11" borderId="9" xfId="0" applyNumberFormat="1" applyFont="1" applyFill="1" applyBorder="1" applyAlignment="1">
      <alignment horizontal="right"/>
    </xf>
    <xf numFmtId="164" fontId="12" fillId="11" borderId="8" xfId="0" applyNumberFormat="1" applyFont="1" applyFill="1" applyBorder="1" applyAlignment="1">
      <alignment horizontal="right"/>
    </xf>
    <xf numFmtId="165" fontId="12" fillId="11" borderId="8" xfId="0" applyNumberFormat="1" applyFont="1" applyFill="1" applyBorder="1" applyAlignment="1">
      <alignment horizontal="right"/>
    </xf>
    <xf numFmtId="165" fontId="17" fillId="11" borderId="9" xfId="0" applyNumberFormat="1" applyFont="1" applyFill="1" applyBorder="1" applyAlignment="1">
      <alignment horizontal="right"/>
    </xf>
    <xf numFmtId="165" fontId="17" fillId="11" borderId="8" xfId="0" applyNumberFormat="1" applyFont="1" applyFill="1" applyBorder="1" applyAlignment="1">
      <alignment horizontal="right"/>
    </xf>
    <xf numFmtId="165" fontId="14" fillId="11" borderId="0" xfId="0" applyNumberFormat="1" applyFont="1" applyFill="1"/>
    <xf numFmtId="0" fontId="25" fillId="11" borderId="12" xfId="0" applyFont="1" applyFill="1" applyBorder="1"/>
    <xf numFmtId="0" fontId="25" fillId="11" borderId="0" xfId="0" applyFont="1" applyFill="1"/>
    <xf numFmtId="0" fontId="25" fillId="11" borderId="13" xfId="0" applyFont="1" applyFill="1" applyBorder="1"/>
    <xf numFmtId="0" fontId="26" fillId="0" borderId="13" xfId="0" applyFont="1" applyBorder="1"/>
    <xf numFmtId="0" fontId="25" fillId="22" borderId="14" xfId="0" applyFont="1" applyFill="1" applyBorder="1"/>
    <xf numFmtId="0" fontId="27" fillId="22" borderId="14" xfId="0" applyFont="1" applyFill="1" applyBorder="1"/>
    <xf numFmtId="0" fontId="28" fillId="0" borderId="12" xfId="0" applyFont="1" applyBorder="1"/>
    <xf numFmtId="0" fontId="28" fillId="0" borderId="0" xfId="0" applyFont="1"/>
    <xf numFmtId="0" fontId="29" fillId="0" borderId="0" xfId="0" applyFont="1"/>
    <xf numFmtId="0" fontId="30" fillId="23" borderId="15" xfId="0" applyFont="1" applyFill="1" applyBorder="1" applyAlignment="1">
      <alignment horizontal="left"/>
    </xf>
    <xf numFmtId="164" fontId="29" fillId="0" borderId="0" xfId="0" applyNumberFormat="1" applyFont="1" applyAlignment="1">
      <alignment horizontal="right"/>
    </xf>
    <xf numFmtId="166" fontId="29" fillId="0" borderId="0" xfId="0" applyNumberFormat="1" applyFont="1" applyAlignment="1">
      <alignment horizontal="right"/>
    </xf>
    <xf numFmtId="167" fontId="29" fillId="0" borderId="0" xfId="0" applyNumberFormat="1" applyFont="1" applyAlignment="1">
      <alignment horizontal="right"/>
    </xf>
    <xf numFmtId="168" fontId="29" fillId="0" borderId="0" xfId="0" applyNumberFormat="1" applyFont="1" applyAlignment="1">
      <alignment horizontal="right"/>
    </xf>
    <xf numFmtId="0" fontId="33" fillId="0" borderId="20" xfId="0" applyFont="1" applyBorder="1"/>
    <xf numFmtId="164" fontId="33" fillId="0" borderId="20" xfId="0" applyNumberFormat="1" applyFont="1" applyBorder="1" applyAlignment="1">
      <alignment horizontal="right"/>
    </xf>
    <xf numFmtId="167" fontId="33" fillId="0" borderId="20" xfId="0" applyNumberFormat="1" applyFont="1" applyBorder="1" applyAlignment="1">
      <alignment horizontal="right"/>
    </xf>
    <xf numFmtId="164" fontId="34" fillId="0" borderId="0" xfId="0" applyNumberFormat="1" applyFont="1" applyAlignment="1">
      <alignment horizontal="right"/>
    </xf>
    <xf numFmtId="167" fontId="33" fillId="0" borderId="21" xfId="0" applyNumberFormat="1" applyFont="1" applyBorder="1" applyAlignment="1">
      <alignment horizontal="right"/>
    </xf>
    <xf numFmtId="0" fontId="2" fillId="2" borderId="0" xfId="0" applyFont="1" applyFill="1"/>
    <xf numFmtId="0" fontId="4" fillId="0" borderId="0" xfId="0" applyFont="1"/>
    <xf numFmtId="0" fontId="9" fillId="0" borderId="0" xfId="0" applyFont="1"/>
    <xf numFmtId="164" fontId="2" fillId="2" borderId="0" xfId="0" applyNumberFormat="1" applyFont="1" applyFill="1"/>
    <xf numFmtId="0" fontId="7" fillId="0" borderId="0" xfId="0" applyFont="1"/>
    <xf numFmtId="0" fontId="8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20" fillId="11" borderId="0" xfId="0" applyFont="1" applyFill="1"/>
    <xf numFmtId="0" fontId="4" fillId="11" borderId="0" xfId="0" applyFont="1" applyFill="1" applyAlignment="1">
      <alignment wrapText="1"/>
    </xf>
    <xf numFmtId="0" fontId="26" fillId="0" borderId="0" xfId="0" applyFont="1" applyAlignment="1">
      <alignment horizontal="left" vertical="center" wrapText="1"/>
    </xf>
    <xf numFmtId="0" fontId="26" fillId="0" borderId="13" xfId="0" applyFont="1" applyBorder="1" applyAlignment="1">
      <alignment horizontal="left" vertical="center" wrapText="1"/>
    </xf>
    <xf numFmtId="0" fontId="2" fillId="21" borderId="10" xfId="0" applyFont="1" applyFill="1" applyBorder="1" applyAlignment="1">
      <alignment horizontal="left" vertical="center"/>
    </xf>
    <xf numFmtId="0" fontId="27" fillId="22" borderId="11" xfId="0" applyFont="1" applyFill="1" applyBorder="1" applyAlignment="1">
      <alignment horizontal="left" vertical="center" wrapText="1"/>
    </xf>
    <xf numFmtId="0" fontId="26" fillId="0" borderId="12" xfId="0" applyFont="1" applyBorder="1" applyAlignment="1">
      <alignment horizontal="left" vertical="center" wrapText="1"/>
    </xf>
    <xf numFmtId="0" fontId="35" fillId="29" borderId="22" xfId="0" applyFont="1" applyFill="1" applyBorder="1"/>
    <xf numFmtId="0" fontId="36" fillId="0" borderId="0" xfId="0" applyFont="1"/>
    <xf numFmtId="0" fontId="33" fillId="25" borderId="18" xfId="0" applyFont="1" applyFill="1" applyBorder="1" applyAlignment="1">
      <alignment horizontal="center"/>
    </xf>
    <xf numFmtId="0" fontId="33" fillId="25" borderId="17" xfId="0" applyFont="1" applyFill="1" applyBorder="1"/>
    <xf numFmtId="166" fontId="33" fillId="27" borderId="0" xfId="0" applyNumberFormat="1" applyFont="1" applyFill="1" applyAlignment="1">
      <alignment horizontal="right"/>
    </xf>
    <xf numFmtId="167" fontId="33" fillId="27" borderId="0" xfId="0" applyNumberFormat="1" applyFont="1" applyFill="1" applyAlignment="1">
      <alignment horizontal="right"/>
    </xf>
    <xf numFmtId="170" fontId="29" fillId="0" borderId="0" xfId="0" applyNumberFormat="1" applyFont="1" applyAlignment="1">
      <alignment horizontal="right"/>
    </xf>
    <xf numFmtId="0" fontId="33" fillId="29" borderId="22" xfId="0" applyFont="1" applyFill="1" applyBorder="1"/>
    <xf numFmtId="0" fontId="36" fillId="24" borderId="16" xfId="0" applyFont="1" applyFill="1" applyBorder="1"/>
    <xf numFmtId="0" fontId="36" fillId="26" borderId="19" xfId="0" applyFont="1" applyFill="1" applyBorder="1" applyAlignment="1">
      <alignment horizontal="center"/>
    </xf>
    <xf numFmtId="167" fontId="29" fillId="28" borderId="0" xfId="0" applyNumberFormat="1" applyFont="1" applyFill="1" applyAlignment="1">
      <alignment horizontal="right"/>
    </xf>
    <xf numFmtId="164" fontId="29" fillId="28" borderId="0" xfId="0" applyNumberFormat="1" applyFont="1" applyFill="1" applyAlignment="1">
      <alignment horizontal="right"/>
    </xf>
    <xf numFmtId="166" fontId="29" fillId="0" borderId="0" xfId="0" applyNumberFormat="1" applyFont="1"/>
    <xf numFmtId="0" fontId="31" fillId="25" borderId="0" xfId="0" applyFont="1" applyFill="1"/>
    <xf numFmtId="0" fontId="31" fillId="25" borderId="23" xfId="0" applyFont="1" applyFill="1" applyBorder="1"/>
    <xf numFmtId="0" fontId="33" fillId="28" borderId="0" xfId="0" applyFont="1" applyFill="1"/>
    <xf numFmtId="0" fontId="33" fillId="28" borderId="24" xfId="0" applyFont="1" applyFill="1" applyBorder="1"/>
    <xf numFmtId="164" fontId="29" fillId="0" borderId="0" xfId="0" applyNumberFormat="1" applyFont="1"/>
    <xf numFmtId="164" fontId="33" fillId="29" borderId="22" xfId="0" applyNumberFormat="1" applyFont="1" applyFill="1" applyBorder="1"/>
    <xf numFmtId="164" fontId="33" fillId="28" borderId="24" xfId="0" applyNumberFormat="1" applyFont="1" applyFill="1" applyBorder="1"/>
    <xf numFmtId="166" fontId="37" fillId="27" borderId="0" xfId="0" applyNumberFormat="1" applyFont="1" applyFill="1"/>
    <xf numFmtId="164" fontId="34" fillId="0" borderId="0" xfId="0" applyNumberFormat="1" applyFont="1"/>
    <xf numFmtId="164" fontId="35" fillId="29" borderId="22" xfId="0" applyNumberFormat="1" applyFont="1" applyFill="1" applyBorder="1"/>
    <xf numFmtId="164" fontId="33" fillId="0" borderId="0" xfId="0" applyNumberFormat="1" applyFont="1"/>
    <xf numFmtId="0" fontId="30" fillId="23" borderId="0" xfId="0" applyFont="1" applyFill="1"/>
    <xf numFmtId="0" fontId="38" fillId="25" borderId="0" xfId="0" applyFont="1" applyFill="1"/>
    <xf numFmtId="0" fontId="33" fillId="29" borderId="0" xfId="0" applyFont="1" applyFill="1"/>
    <xf numFmtId="0" fontId="33" fillId="25" borderId="23" xfId="0" applyFont="1" applyFill="1" applyBorder="1" applyAlignment="1">
      <alignment horizontal="center"/>
    </xf>
    <xf numFmtId="164" fontId="33" fillId="0" borderId="25" xfId="0" applyNumberFormat="1" applyFont="1" applyBorder="1"/>
    <xf numFmtId="164" fontId="33" fillId="28" borderId="0" xfId="0" applyNumberFormat="1" applyFont="1" applyFill="1"/>
    <xf numFmtId="0" fontId="31" fillId="25" borderId="0" xfId="0" applyFont="1" applyFill="1" applyAlignment="1">
      <alignment horizontal="center"/>
    </xf>
    <xf numFmtId="171" fontId="29" fillId="0" borderId="0" xfId="0" applyNumberFormat="1" applyFont="1"/>
    <xf numFmtId="172" fontId="29" fillId="0" borderId="0" xfId="0" applyNumberFormat="1" applyFont="1"/>
    <xf numFmtId="173" fontId="33" fillId="29" borderId="25" xfId="0" applyNumberFormat="1" applyFont="1" applyFill="1" applyBorder="1"/>
    <xf numFmtId="172" fontId="37" fillId="27" borderId="0" xfId="0" applyNumberFormat="1" applyFont="1" applyFill="1"/>
    <xf numFmtId="173" fontId="29" fillId="0" borderId="0" xfId="0" applyNumberFormat="1" applyFont="1"/>
    <xf numFmtId="166" fontId="34" fillId="0" borderId="0" xfId="0" applyNumberFormat="1" applyFont="1"/>
    <xf numFmtId="16" fontId="29" fillId="0" borderId="0" xfId="0" applyNumberFormat="1" applyFont="1"/>
    <xf numFmtId="164" fontId="39" fillId="0" borderId="0" xfId="0" applyNumberFormat="1" applyFont="1"/>
    <xf numFmtId="173" fontId="39" fillId="0" borderId="0" xfId="0" applyNumberFormat="1" applyFont="1"/>
    <xf numFmtId="173" fontId="33" fillId="0" borderId="0" xfId="0" applyNumberFormat="1" applyFont="1"/>
    <xf numFmtId="166" fontId="39" fillId="0" borderId="0" xfId="0" applyNumberFormat="1" applyFont="1"/>
    <xf numFmtId="15" fontId="0" fillId="0" borderId="0" xfId="0" applyNumberFormat="1"/>
    <xf numFmtId="0" fontId="30" fillId="23" borderId="0" xfId="0" applyFont="1" applyFill="1" applyAlignment="1">
      <alignment horizontal="left" vertical="center"/>
    </xf>
    <xf numFmtId="0" fontId="30" fillId="23" borderId="0" xfId="0" applyFont="1" applyFill="1" applyAlignment="1">
      <alignment vertical="center"/>
    </xf>
    <xf numFmtId="0" fontId="30" fillId="23" borderId="0" xfId="0" applyFont="1" applyFill="1"/>
    <xf numFmtId="0" fontId="31" fillId="25" borderId="23" xfId="0" applyFont="1" applyFill="1" applyBorder="1" applyAlignment="1">
      <alignment horizontal="center"/>
    </xf>
    <xf numFmtId="0" fontId="34" fillId="0" borderId="0" xfId="0" applyFont="1"/>
    <xf numFmtId="167" fontId="34" fillId="0" borderId="0" xfId="0" applyNumberFormat="1" applyFont="1"/>
    <xf numFmtId="170" fontId="34" fillId="0" borderId="0" xfId="0" applyNumberFormat="1" applyFont="1"/>
    <xf numFmtId="173" fontId="37" fillId="27" borderId="0" xfId="0" applyNumberFormat="1" applyFont="1" applyFill="1"/>
    <xf numFmtId="173" fontId="34" fillId="0" borderId="0" xfId="0" applyNumberFormat="1" applyFont="1"/>
    <xf numFmtId="0" fontId="39" fillId="0" borderId="0" xfId="0" applyFont="1"/>
    <xf numFmtId="0" fontId="2" fillId="25" borderId="0" xfId="0" applyFont="1" applyFill="1"/>
    <xf numFmtId="0" fontId="31" fillId="31" borderId="23" xfId="0" applyFont="1" applyFill="1" applyBorder="1" applyAlignment="1">
      <alignment horizontal="center"/>
    </xf>
    <xf numFmtId="0" fontId="31" fillId="30" borderId="22" xfId="0" applyFont="1" applyFill="1" applyBorder="1"/>
    <xf numFmtId="0" fontId="31" fillId="30" borderId="0" xfId="0" applyFont="1" applyFill="1"/>
    <xf numFmtId="166" fontId="34" fillId="0" borderId="0" xfId="0" applyNumberFormat="1" applyFont="1" applyAlignment="1">
      <alignment horizontal="right"/>
    </xf>
    <xf numFmtId="166" fontId="31" fillId="30" borderId="0" xfId="0" applyNumberFormat="1" applyFont="1" applyFill="1" applyAlignment="1">
      <alignment horizontal="right"/>
    </xf>
    <xf numFmtId="0" fontId="40" fillId="0" borderId="0" xfId="0" applyFont="1"/>
    <xf numFmtId="0" fontId="31" fillId="31" borderId="0" xfId="0" applyFont="1" applyFill="1" applyAlignment="1">
      <alignment horizontal="center"/>
    </xf>
    <xf numFmtId="166" fontId="37" fillId="27" borderId="0" xfId="0" applyNumberFormat="1" applyFont="1" applyFill="1" applyAlignment="1">
      <alignment horizontal="right"/>
    </xf>
    <xf numFmtId="166" fontId="37" fillId="0" borderId="0" xfId="0" applyNumberFormat="1" applyFont="1" applyAlignment="1">
      <alignment horizontal="right"/>
    </xf>
    <xf numFmtId="166" fontId="34" fillId="27" borderId="0" xfId="0" applyNumberFormat="1" applyFont="1" applyFill="1" applyAlignment="1">
      <alignment horizontal="right"/>
    </xf>
    <xf numFmtId="166" fontId="0" fillId="0" borderId="0" xfId="0" applyNumberFormat="1" applyAlignment="1">
      <alignment horizontal="right"/>
    </xf>
    <xf numFmtId="0" fontId="33" fillId="0" borderId="26" xfId="0" applyFont="1" applyBorder="1"/>
    <xf numFmtId="164" fontId="33" fillId="0" borderId="26" xfId="0" applyNumberFormat="1" applyFont="1" applyBorder="1" applyAlignment="1">
      <alignment horizontal="right"/>
    </xf>
    <xf numFmtId="0" fontId="41" fillId="0" borderId="0" xfId="0" applyFont="1"/>
    <xf numFmtId="164" fontId="37" fillId="0" borderId="0" xfId="0" applyNumberFormat="1" applyFont="1" applyAlignment="1">
      <alignment horizontal="right"/>
    </xf>
    <xf numFmtId="174" fontId="37" fillId="0" borderId="0" xfId="0" applyNumberFormat="1" applyFont="1" applyAlignment="1">
      <alignment horizontal="right"/>
    </xf>
    <xf numFmtId="166" fontId="32" fillId="29" borderId="22" xfId="0" applyNumberFormat="1" applyFont="1" applyFill="1" applyBorder="1" applyAlignment="1">
      <alignment horizontal="right"/>
    </xf>
    <xf numFmtId="167" fontId="29" fillId="0" borderId="0" xfId="0" applyNumberFormat="1" applyFont="1"/>
    <xf numFmtId="170" fontId="29" fillId="0" borderId="0" xfId="0" applyNumberFormat="1" applyFont="1"/>
    <xf numFmtId="0" fontId="33" fillId="30" borderId="0" xfId="0" applyFont="1" applyFill="1"/>
    <xf numFmtId="176" fontId="29" fillId="0" borderId="0" xfId="0" applyNumberFormat="1" applyFont="1"/>
    <xf numFmtId="176" fontId="33" fillId="29" borderId="25" xfId="0" applyNumberFormat="1" applyFont="1" applyFill="1" applyBorder="1"/>
    <xf numFmtId="176" fontId="39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6"/>
  <sheetViews>
    <sheetView showGridLines="0" workbookViewId="0">
      <selection sqref="A1:N1"/>
    </sheetView>
  </sheetViews>
  <sheetFormatPr baseColWidth="10" defaultColWidth="8.83203125" defaultRowHeight="14"/>
  <cols>
    <col min="1" max="1" width="43.33203125" customWidth="1"/>
    <col min="2" max="2" width="27.5" customWidth="1"/>
    <col min="3" max="4" width="17.5" customWidth="1"/>
    <col min="5" max="8" width="3" customWidth="1"/>
  </cols>
  <sheetData>
    <row r="1" spans="1:14" ht="28" customHeight="1">
      <c r="A1" s="179" t="s">
        <v>562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</row>
    <row r="2" spans="1:14" ht="30" customHeight="1">
      <c r="A2" s="130" t="s">
        <v>471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</row>
    <row r="3" spans="1:14">
      <c r="A3" s="130"/>
      <c r="B3" s="130"/>
      <c r="C3" s="130"/>
      <c r="D3" s="130"/>
      <c r="E3" s="130"/>
      <c r="F3" s="130"/>
      <c r="G3" s="130"/>
      <c r="H3" s="130"/>
      <c r="I3" s="130"/>
      <c r="J3" s="130"/>
      <c r="K3" s="130"/>
      <c r="L3" s="130"/>
      <c r="M3" s="130"/>
      <c r="N3" s="130"/>
    </row>
    <row r="4" spans="1:14">
      <c r="A4" s="168" t="s">
        <v>0</v>
      </c>
      <c r="B4" s="168"/>
      <c r="C4" s="168"/>
      <c r="D4" s="168"/>
      <c r="E4" s="168"/>
      <c r="F4" s="168"/>
      <c r="G4" s="168"/>
      <c r="H4" s="168"/>
      <c r="I4" s="168"/>
      <c r="J4" s="168"/>
      <c r="K4" s="168"/>
      <c r="L4" s="168"/>
      <c r="M4" s="168"/>
      <c r="N4" s="168"/>
    </row>
    <row r="5" spans="1:14">
      <c r="A5" s="130" t="s">
        <v>552</v>
      </c>
      <c r="B5" s="130"/>
      <c r="C5" s="130"/>
      <c r="D5" s="130"/>
      <c r="E5" s="130"/>
      <c r="F5" s="130"/>
      <c r="G5" s="130"/>
      <c r="H5" s="130"/>
      <c r="I5" s="130"/>
      <c r="J5" s="130"/>
      <c r="K5" s="130"/>
      <c r="L5" s="130"/>
      <c r="M5" s="130"/>
      <c r="N5" s="130"/>
    </row>
    <row r="6" spans="1:14">
      <c r="A6" s="130"/>
      <c r="B6" s="130"/>
      <c r="C6" s="130"/>
      <c r="D6" s="130"/>
      <c r="E6" s="130"/>
      <c r="F6" s="130"/>
      <c r="G6" s="130"/>
      <c r="H6" s="130"/>
      <c r="I6" s="130"/>
      <c r="J6" s="130"/>
      <c r="K6" s="130"/>
      <c r="L6" s="130"/>
      <c r="M6" s="130"/>
      <c r="N6" s="130"/>
    </row>
    <row r="7" spans="1:14">
      <c r="A7" s="168" t="s">
        <v>472</v>
      </c>
      <c r="B7" s="168"/>
      <c r="C7" s="168"/>
      <c r="D7" s="168"/>
      <c r="E7" s="130"/>
      <c r="F7" s="130"/>
      <c r="G7" s="130"/>
      <c r="H7" s="130"/>
      <c r="I7" s="130"/>
      <c r="J7" s="130"/>
      <c r="K7" s="130"/>
      <c r="L7" s="130"/>
      <c r="M7" s="130"/>
      <c r="N7" s="130"/>
    </row>
    <row r="8" spans="1:14">
      <c r="A8" s="130" t="s">
        <v>473</v>
      </c>
      <c r="B8" s="130" t="s">
        <v>26</v>
      </c>
      <c r="C8" s="193">
        <f>'07_Income_Statement'!E11</f>
        <v>84961.9</v>
      </c>
      <c r="D8" s="178"/>
      <c r="E8" s="130"/>
      <c r="F8" s="130"/>
      <c r="G8" s="130"/>
      <c r="H8" s="130"/>
      <c r="I8" s="130"/>
      <c r="J8" s="130"/>
      <c r="K8" s="130"/>
      <c r="L8" s="130"/>
      <c r="M8" s="130"/>
      <c r="N8" s="130"/>
    </row>
    <row r="9" spans="1:14">
      <c r="A9" s="130" t="s">
        <v>474</v>
      </c>
      <c r="B9" s="130" t="s">
        <v>26</v>
      </c>
      <c r="C9" s="193">
        <f>'07_Income_Statement'!J11</f>
        <v>153031.24673536548</v>
      </c>
      <c r="D9" s="178"/>
      <c r="E9" s="130"/>
      <c r="F9" s="130"/>
      <c r="G9" s="130"/>
      <c r="H9" s="130"/>
      <c r="I9" s="130"/>
      <c r="J9" s="130"/>
      <c r="K9" s="130"/>
      <c r="L9" s="130"/>
      <c r="M9" s="130"/>
      <c r="N9" s="130"/>
    </row>
    <row r="10" spans="1:14">
      <c r="A10" s="130" t="s">
        <v>475</v>
      </c>
      <c r="B10" s="130" t="s">
        <v>178</v>
      </c>
      <c r="C10" s="196">
        <f>'07_Income_Statement'!J25</f>
        <v>6.2176511787210724E-2</v>
      </c>
      <c r="D10" s="178"/>
      <c r="E10" s="130"/>
      <c r="F10" s="130"/>
      <c r="G10" s="130"/>
      <c r="H10" s="130"/>
      <c r="I10" s="130"/>
      <c r="J10" s="130"/>
      <c r="K10" s="130"/>
      <c r="L10" s="130"/>
      <c r="M10" s="130"/>
      <c r="N10" s="130"/>
    </row>
    <row r="11" spans="1:14" ht="32" customHeight="1">
      <c r="A11" s="130" t="s">
        <v>476</v>
      </c>
      <c r="B11" s="130" t="s">
        <v>26</v>
      </c>
      <c r="C11" s="193">
        <f>'09_Cash_Flow'!J16</f>
        <v>3839.6435862064282</v>
      </c>
      <c r="D11" s="178"/>
      <c r="E11" s="130"/>
      <c r="F11" s="130"/>
      <c r="G11" s="130"/>
      <c r="H11" s="130"/>
      <c r="I11" s="130"/>
      <c r="J11" s="130"/>
      <c r="K11" s="130"/>
      <c r="L11" s="130"/>
      <c r="M11" s="130"/>
      <c r="N11" s="130"/>
    </row>
    <row r="12" spans="1:14">
      <c r="A12" s="130" t="s">
        <v>477</v>
      </c>
      <c r="B12" s="130" t="s">
        <v>46</v>
      </c>
      <c r="C12" s="231">
        <f>'11_DCF'!C33</f>
        <v>0</v>
      </c>
      <c r="D12" s="195"/>
      <c r="E12" s="130"/>
      <c r="F12" s="130"/>
      <c r="G12" s="130"/>
      <c r="H12" s="130"/>
      <c r="I12" s="130"/>
      <c r="J12" s="130"/>
      <c r="K12" s="130"/>
      <c r="L12" s="130"/>
      <c r="M12" s="130"/>
      <c r="N12" s="130"/>
    </row>
    <row r="13" spans="1:14">
      <c r="A13" s="130" t="s">
        <v>580</v>
      </c>
      <c r="B13" s="130" t="s">
        <v>46</v>
      </c>
      <c r="C13" s="194">
        <f>'12_Reverse_DCF'!C7</f>
        <v>5001</v>
      </c>
      <c r="D13" s="195"/>
      <c r="E13" s="130"/>
      <c r="F13" s="130"/>
      <c r="G13" s="130"/>
      <c r="H13" s="130"/>
      <c r="I13" s="130"/>
      <c r="J13" s="130"/>
      <c r="K13" s="130"/>
      <c r="L13" s="130"/>
      <c r="M13" s="130"/>
      <c r="N13" s="130"/>
    </row>
    <row r="14" spans="1:14">
      <c r="A14" s="130"/>
      <c r="B14" s="130"/>
      <c r="C14" s="130"/>
      <c r="D14" s="130"/>
      <c r="E14" s="130"/>
      <c r="F14" s="130"/>
      <c r="G14" s="130"/>
      <c r="H14" s="130"/>
      <c r="I14" s="130"/>
      <c r="J14" s="130"/>
      <c r="K14" s="130"/>
      <c r="L14" s="130"/>
      <c r="M14" s="130"/>
      <c r="N14" s="130"/>
    </row>
    <row r="15" spans="1:14">
      <c r="A15" s="130"/>
      <c r="B15" s="130"/>
      <c r="C15" s="207"/>
      <c r="D15" s="130"/>
      <c r="E15" s="130"/>
      <c r="F15" s="130"/>
      <c r="G15" s="130"/>
      <c r="H15" s="130"/>
      <c r="I15" s="130"/>
      <c r="J15" s="130"/>
      <c r="K15" s="130"/>
      <c r="L15" s="130"/>
      <c r="M15" s="130"/>
      <c r="N15" s="130"/>
    </row>
    <row r="16" spans="1:14">
      <c r="A16" s="130"/>
      <c r="B16" s="130"/>
      <c r="C16" s="130"/>
      <c r="D16" s="130"/>
      <c r="E16" s="130"/>
      <c r="F16" s="130"/>
      <c r="G16" s="130"/>
      <c r="H16" s="130"/>
      <c r="I16" s="130"/>
      <c r="J16" s="130"/>
      <c r="K16" s="130"/>
      <c r="L16" s="130"/>
      <c r="M16" s="130"/>
      <c r="N16" s="130"/>
    </row>
    <row r="17" spans="1:14">
      <c r="A17" s="181" t="s">
        <v>478</v>
      </c>
      <c r="B17" s="181"/>
      <c r="C17" s="181"/>
      <c r="D17" s="181"/>
      <c r="E17" s="130"/>
      <c r="F17" s="130"/>
      <c r="G17" s="130"/>
      <c r="H17" s="130"/>
      <c r="I17" s="130"/>
      <c r="J17" s="130"/>
      <c r="K17" s="130"/>
      <c r="L17" s="130"/>
      <c r="M17" s="130"/>
      <c r="N17" s="130"/>
    </row>
    <row r="18" spans="1:14">
      <c r="A18" s="130" t="s">
        <v>479</v>
      </c>
      <c r="B18" s="130"/>
      <c r="C18" s="130"/>
      <c r="D18" s="130"/>
      <c r="E18" s="130"/>
      <c r="F18" s="130"/>
      <c r="G18" s="130"/>
      <c r="H18" s="130"/>
      <c r="I18" s="130"/>
      <c r="J18" s="130"/>
      <c r="K18" s="130"/>
      <c r="L18" s="130"/>
      <c r="M18" s="130"/>
      <c r="N18" s="130"/>
    </row>
    <row r="19" spans="1:14">
      <c r="A19" s="130" t="s">
        <v>553</v>
      </c>
      <c r="B19" s="130"/>
      <c r="C19" s="130"/>
      <c r="D19" s="130"/>
      <c r="E19" s="130"/>
      <c r="F19" s="130"/>
      <c r="G19" s="130"/>
      <c r="H19" s="130"/>
      <c r="I19" s="130"/>
      <c r="J19" s="130"/>
      <c r="K19" s="130"/>
      <c r="L19" s="130"/>
      <c r="M19" s="130"/>
      <c r="N19" s="130"/>
    </row>
    <row r="20" spans="1:14">
      <c r="A20" s="130" t="s">
        <v>480</v>
      </c>
      <c r="B20" s="130"/>
      <c r="C20" s="130"/>
      <c r="D20" s="130"/>
      <c r="E20" s="130"/>
      <c r="F20" s="130"/>
      <c r="G20" s="130"/>
      <c r="H20" s="130"/>
      <c r="I20" s="130"/>
      <c r="J20" s="130"/>
      <c r="K20" s="130"/>
      <c r="L20" s="130"/>
      <c r="M20" s="130"/>
      <c r="N20" s="130"/>
    </row>
    <row r="21" spans="1:14">
      <c r="A21" s="130" t="s">
        <v>481</v>
      </c>
      <c r="B21" s="130"/>
      <c r="C21" s="130"/>
      <c r="D21" s="130"/>
      <c r="E21" s="130"/>
      <c r="F21" s="130"/>
      <c r="G21" s="130"/>
      <c r="H21" s="130"/>
      <c r="I21" s="130"/>
      <c r="J21" s="130"/>
      <c r="K21" s="130"/>
      <c r="L21" s="130"/>
      <c r="M21" s="130"/>
      <c r="N21" s="130"/>
    </row>
    <row r="22" spans="1:14">
      <c r="A22" s="130" t="s">
        <v>435</v>
      </c>
      <c r="B22" s="130"/>
      <c r="C22" s="130"/>
      <c r="D22" s="130"/>
      <c r="E22" s="130"/>
      <c r="F22" s="130"/>
      <c r="G22" s="130"/>
      <c r="H22" s="130"/>
      <c r="I22" s="130"/>
      <c r="J22" s="130"/>
      <c r="K22" s="130"/>
      <c r="L22" s="130"/>
      <c r="M22" s="130"/>
      <c r="N22" s="130"/>
    </row>
    <row r="23" spans="1:14">
      <c r="A23" s="130" t="s">
        <v>554</v>
      </c>
      <c r="B23" s="130"/>
      <c r="C23" s="130"/>
      <c r="D23" s="130"/>
      <c r="E23" s="130"/>
      <c r="F23" s="130"/>
      <c r="G23" s="130"/>
      <c r="H23" s="130"/>
      <c r="I23" s="130"/>
      <c r="J23" s="130"/>
      <c r="K23" s="130"/>
      <c r="L23" s="130"/>
      <c r="M23" s="130"/>
      <c r="N23" s="130"/>
    </row>
    <row r="24" spans="1:14">
      <c r="A24" s="130"/>
      <c r="B24" s="130"/>
      <c r="C24" s="130"/>
      <c r="D24" s="130"/>
      <c r="E24" s="130"/>
      <c r="F24" s="130"/>
      <c r="G24" s="130"/>
      <c r="H24" s="130"/>
      <c r="I24" s="130"/>
      <c r="J24" s="130"/>
      <c r="K24" s="130"/>
      <c r="L24" s="130"/>
      <c r="M24" s="130"/>
      <c r="N24" s="130"/>
    </row>
    <row r="25" spans="1:14">
      <c r="A25" s="130"/>
      <c r="B25" s="130"/>
      <c r="C25" s="130"/>
      <c r="D25" s="130"/>
      <c r="E25" s="130"/>
      <c r="F25" s="130"/>
      <c r="G25" s="130"/>
      <c r="H25" s="130"/>
      <c r="I25" s="130"/>
      <c r="J25" s="130"/>
      <c r="K25" s="130"/>
      <c r="L25" s="130"/>
      <c r="M25" s="130"/>
      <c r="N25" s="130"/>
    </row>
    <row r="26" spans="1:14">
      <c r="A26" s="181" t="s">
        <v>482</v>
      </c>
      <c r="B26" s="181"/>
      <c r="C26" s="181"/>
      <c r="D26" s="181"/>
      <c r="E26" s="130"/>
      <c r="F26" s="130"/>
      <c r="G26" s="130"/>
      <c r="H26" s="130"/>
      <c r="I26" s="130"/>
      <c r="J26" s="130"/>
      <c r="K26" s="130"/>
      <c r="L26" s="130"/>
      <c r="M26" s="130"/>
      <c r="N26" s="130"/>
    </row>
    <row r="27" spans="1:14">
      <c r="A27" s="130" t="s">
        <v>483</v>
      </c>
      <c r="B27" s="192" t="s">
        <v>555</v>
      </c>
      <c r="C27" s="130"/>
      <c r="D27" s="130"/>
      <c r="E27" s="130"/>
      <c r="F27" s="130"/>
      <c r="G27" s="130"/>
      <c r="H27" s="130"/>
      <c r="I27" s="130"/>
      <c r="J27" s="130"/>
      <c r="K27" s="130"/>
      <c r="L27" s="130"/>
      <c r="M27" s="130"/>
      <c r="N27" s="130"/>
    </row>
    <row r="28" spans="1:14">
      <c r="A28" s="130" t="s">
        <v>484</v>
      </c>
      <c r="B28" s="192" t="s">
        <v>564</v>
      </c>
      <c r="C28" s="130"/>
      <c r="D28" s="130"/>
      <c r="E28" s="130"/>
      <c r="F28" s="130"/>
      <c r="G28" s="130"/>
      <c r="H28" s="130"/>
      <c r="I28" s="130"/>
      <c r="J28" s="130"/>
      <c r="K28" s="130"/>
      <c r="L28" s="130"/>
      <c r="M28" s="130"/>
      <c r="N28" s="130"/>
    </row>
    <row r="29" spans="1:14">
      <c r="A29" s="130" t="s">
        <v>485</v>
      </c>
      <c r="B29" s="192" t="s">
        <v>565</v>
      </c>
      <c r="C29" s="130"/>
      <c r="D29" s="130"/>
      <c r="E29" s="130"/>
      <c r="F29" s="130"/>
      <c r="G29" s="130"/>
      <c r="H29" s="130"/>
      <c r="I29" s="130"/>
      <c r="J29" s="130"/>
      <c r="K29" s="130"/>
      <c r="L29" s="130"/>
      <c r="M29" s="130"/>
      <c r="N29" s="130"/>
    </row>
    <row r="30" spans="1:14">
      <c r="A30" s="130" t="s">
        <v>486</v>
      </c>
      <c r="B30" s="192" t="s">
        <v>566</v>
      </c>
      <c r="C30" s="130"/>
      <c r="D30" s="130"/>
      <c r="E30" s="130"/>
      <c r="F30" s="130"/>
      <c r="G30" s="130"/>
      <c r="H30" s="130"/>
      <c r="I30" s="130"/>
      <c r="J30" s="130"/>
      <c r="K30" s="130"/>
      <c r="L30" s="130"/>
      <c r="M30" s="130"/>
      <c r="N30" s="130"/>
    </row>
    <row r="31" spans="1:14">
      <c r="A31" s="130"/>
      <c r="B31" s="130"/>
      <c r="C31" s="130"/>
      <c r="D31" s="130"/>
      <c r="E31" s="130"/>
      <c r="F31" s="130"/>
      <c r="G31" s="130"/>
      <c r="H31" s="130"/>
      <c r="I31" s="130"/>
      <c r="J31" s="130"/>
      <c r="K31" s="130"/>
      <c r="L31" s="130"/>
      <c r="M31" s="130"/>
      <c r="N31" s="130"/>
    </row>
    <row r="32" spans="1:14">
      <c r="A32" s="181" t="s">
        <v>487</v>
      </c>
      <c r="B32" s="181"/>
      <c r="C32" s="181"/>
      <c r="D32" s="181"/>
      <c r="E32" s="130"/>
      <c r="F32" s="130"/>
      <c r="G32" s="130"/>
      <c r="H32" s="130"/>
      <c r="I32" s="130"/>
      <c r="J32" s="130"/>
      <c r="K32" s="130"/>
      <c r="L32" s="130"/>
      <c r="M32" s="130"/>
      <c r="N32" s="130"/>
    </row>
    <row r="33" spans="1:14">
      <c r="A33" s="130" t="s">
        <v>1</v>
      </c>
      <c r="B33" s="130" t="s">
        <v>488</v>
      </c>
      <c r="C33" s="130"/>
      <c r="D33" s="130"/>
      <c r="E33" s="130"/>
      <c r="F33" s="130"/>
      <c r="G33" s="130"/>
      <c r="H33" s="130"/>
      <c r="I33" s="130"/>
      <c r="J33" s="130"/>
      <c r="K33" s="130"/>
      <c r="L33" s="130"/>
      <c r="M33" s="130"/>
      <c r="N33" s="130"/>
    </row>
    <row r="34" spans="1:14">
      <c r="A34" s="130" t="s">
        <v>4</v>
      </c>
      <c r="B34" s="130" t="s">
        <v>159</v>
      </c>
      <c r="C34" s="130"/>
      <c r="D34" s="130"/>
      <c r="E34" s="130"/>
      <c r="F34" s="130"/>
      <c r="G34" s="130"/>
      <c r="H34" s="130"/>
      <c r="I34" s="130"/>
      <c r="J34" s="130"/>
      <c r="K34" s="130"/>
      <c r="L34" s="130"/>
      <c r="M34" s="130"/>
      <c r="N34" s="130"/>
    </row>
    <row r="35" spans="1:14">
      <c r="A35" s="130" t="s">
        <v>2</v>
      </c>
      <c r="B35" s="130" t="s">
        <v>3</v>
      </c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30"/>
    </row>
    <row r="36" spans="1:14">
      <c r="A36" s="130" t="s">
        <v>489</v>
      </c>
      <c r="B36" s="130" t="s">
        <v>563</v>
      </c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3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8"/>
  <sheetViews>
    <sheetView showGridLines="0" workbookViewId="0">
      <selection sqref="A1:N1"/>
    </sheetView>
  </sheetViews>
  <sheetFormatPr baseColWidth="10" defaultColWidth="8.83203125" defaultRowHeight="14"/>
  <cols>
    <col min="1" max="1" width="11.6640625" customWidth="1"/>
    <col min="2" max="2" width="24.1640625" customWidth="1"/>
    <col min="3" max="3" width="25.83203125" customWidth="1"/>
    <col min="4" max="4" width="45" customWidth="1"/>
    <col min="5" max="8" width="3" customWidth="1"/>
  </cols>
  <sheetData>
    <row r="1" spans="1:4" ht="28" customHeight="1">
      <c r="A1" s="200" t="s">
        <v>127</v>
      </c>
      <c r="B1" s="200"/>
      <c r="C1" s="200"/>
      <c r="D1" s="200"/>
    </row>
    <row r="2" spans="1:4" ht="30" customHeight="1">
      <c r="A2" s="143" t="s">
        <v>144</v>
      </c>
      <c r="B2" s="143"/>
      <c r="C2" s="143"/>
      <c r="D2" s="143"/>
    </row>
    <row r="3" spans="1:4" ht="15">
      <c r="A3" s="142" t="s">
        <v>145</v>
      </c>
      <c r="B3" s="142"/>
      <c r="C3" s="142"/>
      <c r="D3" s="142"/>
    </row>
    <row r="4" spans="1:4" ht="15">
      <c r="A4" s="141" t="s">
        <v>128</v>
      </c>
      <c r="B4" s="141"/>
      <c r="C4" s="141"/>
      <c r="D4" s="141"/>
    </row>
    <row r="5" spans="1:4" ht="15" customHeight="1">
      <c r="A5" s="3" t="s">
        <v>129</v>
      </c>
      <c r="B5" s="3" t="s">
        <v>132</v>
      </c>
      <c r="C5" s="3" t="s">
        <v>146</v>
      </c>
      <c r="D5" s="3" t="s">
        <v>147</v>
      </c>
    </row>
    <row r="6" spans="1:4" ht="15" customHeight="1">
      <c r="A6" s="2" t="s">
        <v>10</v>
      </c>
      <c r="B6" s="2" t="s">
        <v>133</v>
      </c>
      <c r="C6" s="2" t="s">
        <v>130</v>
      </c>
      <c r="D6" s="2" t="s">
        <v>148</v>
      </c>
    </row>
    <row r="7" spans="1:4" ht="15" customHeight="1">
      <c r="A7" s="2" t="s">
        <v>11</v>
      </c>
      <c r="B7" s="2" t="s">
        <v>134</v>
      </c>
      <c r="C7" s="2" t="s">
        <v>131</v>
      </c>
      <c r="D7" s="2" t="s">
        <v>149</v>
      </c>
    </row>
    <row r="8" spans="1:4" ht="15" customHeight="1">
      <c r="A8" s="2" t="s">
        <v>12</v>
      </c>
      <c r="B8" s="2" t="s">
        <v>135</v>
      </c>
      <c r="C8" s="2" t="s">
        <v>131</v>
      </c>
      <c r="D8" s="2" t="s">
        <v>150</v>
      </c>
    </row>
    <row r="9" spans="1:4" ht="15">
      <c r="A9" s="2" t="s">
        <v>13</v>
      </c>
      <c r="B9" s="2" t="s">
        <v>136</v>
      </c>
      <c r="C9" s="2" t="s">
        <v>131</v>
      </c>
      <c r="D9" s="2" t="s">
        <v>151</v>
      </c>
    </row>
    <row r="10" spans="1:4" ht="15">
      <c r="A10" s="2" t="s">
        <v>14</v>
      </c>
      <c r="B10" s="2" t="s">
        <v>137</v>
      </c>
      <c r="C10" s="2" t="s">
        <v>131</v>
      </c>
      <c r="D10" s="2" t="s">
        <v>152</v>
      </c>
    </row>
    <row r="11" spans="1:4" ht="32" customHeight="1">
      <c r="A11" s="2" t="s">
        <v>15</v>
      </c>
      <c r="B11" s="2" t="s">
        <v>138</v>
      </c>
      <c r="C11" s="2" t="s">
        <v>131</v>
      </c>
      <c r="D11" s="2" t="s">
        <v>153</v>
      </c>
    </row>
    <row r="12" spans="1:4" ht="15">
      <c r="A12" s="2" t="s">
        <v>16</v>
      </c>
      <c r="B12" s="2" t="s">
        <v>139</v>
      </c>
      <c r="C12" s="2" t="s">
        <v>131</v>
      </c>
      <c r="D12" s="2" t="s">
        <v>154</v>
      </c>
    </row>
    <row r="13" spans="1:4" ht="15">
      <c r="A13" s="2" t="s">
        <v>17</v>
      </c>
      <c r="B13" s="2" t="s">
        <v>140</v>
      </c>
      <c r="C13" s="2" t="s">
        <v>131</v>
      </c>
      <c r="D13" s="2" t="s">
        <v>155</v>
      </c>
    </row>
    <row r="14" spans="1:4" ht="15">
      <c r="A14" s="2" t="s">
        <v>18</v>
      </c>
      <c r="B14" s="2" t="s">
        <v>141</v>
      </c>
      <c r="C14" s="2" t="s">
        <v>131</v>
      </c>
      <c r="D14" s="2" t="s">
        <v>156</v>
      </c>
    </row>
    <row r="15" spans="1:4" ht="15">
      <c r="A15" s="2" t="s">
        <v>19</v>
      </c>
      <c r="B15" s="2" t="s">
        <v>142</v>
      </c>
      <c r="C15" s="2" t="s">
        <v>131</v>
      </c>
      <c r="D15" s="2" t="s">
        <v>157</v>
      </c>
    </row>
    <row r="16" spans="1:4" ht="15">
      <c r="A16" s="2" t="s">
        <v>20</v>
      </c>
      <c r="B16" s="2" t="s">
        <v>143</v>
      </c>
      <c r="C16" s="2" t="s">
        <v>131</v>
      </c>
      <c r="D16" s="2" t="s">
        <v>158</v>
      </c>
    </row>
    <row r="17" spans="1:4" ht="15">
      <c r="A17" s="208" t="s">
        <v>510</v>
      </c>
      <c r="B17" s="180"/>
      <c r="C17" s="180"/>
      <c r="D17" s="180"/>
    </row>
    <row r="18" spans="1:4" ht="15">
      <c r="A18" s="197">
        <v>46272</v>
      </c>
      <c r="B18" s="2" t="s">
        <v>506</v>
      </c>
      <c r="C18" s="2" t="s">
        <v>507</v>
      </c>
      <c r="D18" s="2" t="s">
        <v>508</v>
      </c>
    </row>
  </sheetData>
  <mergeCells count="4">
    <mergeCell ref="A3:D3"/>
    <mergeCell ref="A4:D4"/>
    <mergeCell ref="A1:D1"/>
    <mergeCell ref="A2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10"/>
  <sheetViews>
    <sheetView showGridLines="0" zoomScale="110" zoomScaleNormal="110" workbookViewId="0">
      <pane ySplit="5" topLeftCell="A6" activePane="bottomLeft" state="frozen"/>
      <selection pane="bottomLeft" activeCell="G6" sqref="G6"/>
    </sheetView>
  </sheetViews>
  <sheetFormatPr baseColWidth="10" defaultColWidth="8.83203125" defaultRowHeight="14"/>
  <cols>
    <col min="1" max="1" width="35.83203125" customWidth="1"/>
    <col min="2" max="2" width="14.6640625" customWidth="1"/>
    <col min="3" max="13" width="13" customWidth="1"/>
  </cols>
  <sheetData>
    <row r="1" spans="1:13" ht="27" customHeight="1">
      <c r="A1" s="200" t="s">
        <v>5</v>
      </c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</row>
    <row r="2" spans="1:13" ht="18" customHeight="1">
      <c r="A2" s="145" t="s">
        <v>6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</row>
    <row r="3" spans="1:13" ht="28" customHeight="1">
      <c r="A3" s="146" t="s">
        <v>7</v>
      </c>
      <c r="B3" s="146"/>
      <c r="C3" s="146"/>
      <c r="D3" s="146"/>
      <c r="E3" s="146"/>
      <c r="F3" s="146"/>
      <c r="G3" s="146"/>
      <c r="H3" s="146"/>
      <c r="I3" s="146"/>
      <c r="J3" s="146"/>
      <c r="K3" s="146"/>
      <c r="L3" s="146"/>
      <c r="M3" s="146"/>
    </row>
    <row r="4" spans="1:13" ht="18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ht="18" customHeight="1">
      <c r="A5" s="3" t="s">
        <v>8</v>
      </c>
      <c r="B5" s="3" t="s">
        <v>9</v>
      </c>
      <c r="C5" s="4" t="s">
        <v>10</v>
      </c>
      <c r="D5" s="4" t="s">
        <v>11</v>
      </c>
      <c r="E5" s="4" t="s">
        <v>12</v>
      </c>
      <c r="F5" s="4" t="s">
        <v>13</v>
      </c>
      <c r="G5" s="4" t="s">
        <v>14</v>
      </c>
      <c r="H5" s="4" t="s">
        <v>15</v>
      </c>
      <c r="I5" s="4" t="s">
        <v>16</v>
      </c>
      <c r="J5" s="4" t="s">
        <v>17</v>
      </c>
      <c r="K5" s="4" t="s">
        <v>18</v>
      </c>
      <c r="L5" s="4" t="s">
        <v>19</v>
      </c>
      <c r="M5" s="4" t="s">
        <v>20</v>
      </c>
    </row>
    <row r="6" spans="1:13" s="14" customFormat="1" ht="45">
      <c r="A6" s="15" t="s">
        <v>132</v>
      </c>
      <c r="B6" s="12"/>
      <c r="C6" s="13" t="s">
        <v>133</v>
      </c>
      <c r="D6" s="13" t="s">
        <v>134</v>
      </c>
      <c r="E6" s="13" t="s">
        <v>135</v>
      </c>
      <c r="F6" s="13" t="s">
        <v>136</v>
      </c>
      <c r="G6" s="13" t="s">
        <v>137</v>
      </c>
      <c r="H6" s="13" t="s">
        <v>138</v>
      </c>
      <c r="I6" s="13" t="s">
        <v>139</v>
      </c>
      <c r="J6" s="13" t="s">
        <v>140</v>
      </c>
      <c r="K6" s="13" t="s">
        <v>141</v>
      </c>
      <c r="L6" s="13" t="s">
        <v>142</v>
      </c>
      <c r="M6" s="13" t="s">
        <v>512</v>
      </c>
    </row>
    <row r="7" spans="1:13" ht="18" customHeight="1">
      <c r="A7" s="141" t="s">
        <v>24</v>
      </c>
      <c r="B7" s="141"/>
      <c r="C7" s="141"/>
      <c r="D7" s="141"/>
      <c r="E7" s="141"/>
      <c r="F7" s="141"/>
      <c r="G7" s="141"/>
      <c r="H7" s="141"/>
      <c r="I7" s="141"/>
      <c r="J7" s="141"/>
      <c r="K7" s="141"/>
      <c r="L7" s="141"/>
      <c r="M7" s="141"/>
    </row>
    <row r="8" spans="1:13" ht="18" customHeight="1">
      <c r="A8" s="2" t="s">
        <v>25</v>
      </c>
      <c r="B8" s="2" t="s">
        <v>26</v>
      </c>
      <c r="C8" s="9">
        <v>16139.909</v>
      </c>
      <c r="D8" s="9">
        <v>18580.5</v>
      </c>
      <c r="E8" s="9">
        <v>23020.886999999999</v>
      </c>
      <c r="F8" s="9">
        <v>28496.771999999997</v>
      </c>
      <c r="G8" s="9">
        <v>35756.001000000004</v>
      </c>
      <c r="H8" s="9">
        <v>14640.630999999999</v>
      </c>
      <c r="I8" s="9">
        <v>25930.927</v>
      </c>
      <c r="J8" s="9">
        <v>54446.453000000001</v>
      </c>
      <c r="K8" s="9">
        <v>68904.342000000004</v>
      </c>
      <c r="L8" s="9">
        <v>80802.899999999994</v>
      </c>
      <c r="M8" s="9">
        <v>84961.9</v>
      </c>
    </row>
    <row r="9" spans="1:13" ht="18" customHeight="1">
      <c r="A9" s="2" t="s">
        <v>27</v>
      </c>
      <c r="B9" s="2" t="s">
        <v>26</v>
      </c>
      <c r="C9" s="9">
        <v>461.39299999999997</v>
      </c>
      <c r="D9" s="9">
        <v>789.06999999999994</v>
      </c>
      <c r="E9" s="9">
        <v>946.85599999999999</v>
      </c>
      <c r="F9" s="9">
        <v>1324.598</v>
      </c>
      <c r="G9" s="9">
        <v>1535.509</v>
      </c>
      <c r="H9" s="9">
        <v>1036.9639999999999</v>
      </c>
      <c r="I9" s="9">
        <v>725.59799999999996</v>
      </c>
      <c r="J9" s="9">
        <v>1434.9649999999999</v>
      </c>
      <c r="K9" s="9">
        <v>2326.8209999999999</v>
      </c>
      <c r="L9" s="9">
        <v>3295.3</v>
      </c>
      <c r="M9" s="9">
        <v>4551.5</v>
      </c>
    </row>
    <row r="10" spans="1:13" ht="18" customHeight="1">
      <c r="A10" s="1" t="s">
        <v>28</v>
      </c>
      <c r="B10" s="1" t="s">
        <v>26</v>
      </c>
      <c r="C10" s="7">
        <f t="shared" ref="C10:M10" si="0">C8+C9</f>
        <v>16601.302</v>
      </c>
      <c r="D10" s="7">
        <f t="shared" si="0"/>
        <v>19369.57</v>
      </c>
      <c r="E10" s="7">
        <f t="shared" si="0"/>
        <v>23967.742999999999</v>
      </c>
      <c r="F10" s="7">
        <f t="shared" si="0"/>
        <v>29821.369999999995</v>
      </c>
      <c r="G10" s="7">
        <f t="shared" si="0"/>
        <v>37291.51</v>
      </c>
      <c r="H10" s="7">
        <f t="shared" si="0"/>
        <v>15677.594999999999</v>
      </c>
      <c r="I10" s="7">
        <f t="shared" si="0"/>
        <v>26656.525000000001</v>
      </c>
      <c r="J10" s="7">
        <f t="shared" si="0"/>
        <v>55881.417999999998</v>
      </c>
      <c r="K10" s="7">
        <f t="shared" si="0"/>
        <v>71231.163</v>
      </c>
      <c r="L10" s="7">
        <f t="shared" si="0"/>
        <v>84098.2</v>
      </c>
      <c r="M10" s="7">
        <f t="shared" si="0"/>
        <v>89513.4</v>
      </c>
    </row>
    <row r="11" spans="1:13" ht="18" customHeight="1">
      <c r="A11" s="2" t="s">
        <v>29</v>
      </c>
      <c r="B11" s="2" t="s">
        <v>26</v>
      </c>
      <c r="C11" s="9">
        <v>4779.3239999999996</v>
      </c>
      <c r="D11" s="9">
        <v>6341.5129999999999</v>
      </c>
      <c r="E11" s="9">
        <v>7760.1360000000004</v>
      </c>
      <c r="F11" s="9">
        <v>11942.793</v>
      </c>
      <c r="G11" s="9">
        <v>12453.794</v>
      </c>
      <c r="H11" s="9">
        <v>3831.277</v>
      </c>
      <c r="I11" s="9">
        <v>9695.2360000000008</v>
      </c>
      <c r="J11" s="9">
        <v>23646.017</v>
      </c>
      <c r="K11" s="9">
        <v>23904.578000000001</v>
      </c>
      <c r="L11" s="9">
        <v>26197.3</v>
      </c>
      <c r="M11" s="9">
        <v>25389.200000000001</v>
      </c>
    </row>
    <row r="12" spans="1:13" ht="18" customHeight="1">
      <c r="A12" s="2" t="s">
        <v>30</v>
      </c>
      <c r="B12" s="2" t="s">
        <v>26</v>
      </c>
      <c r="C12" s="9">
        <v>2612.152</v>
      </c>
      <c r="D12" s="9">
        <v>3125.373</v>
      </c>
      <c r="E12" s="9">
        <v>3610.1990000000001</v>
      </c>
      <c r="F12" s="9">
        <v>4999.4489999999996</v>
      </c>
      <c r="G12" s="9">
        <v>496.65699999999998</v>
      </c>
      <c r="H12" s="9">
        <v>280.45699999999999</v>
      </c>
      <c r="I12" s="9">
        <v>311.68400000000003</v>
      </c>
      <c r="J12" s="9">
        <v>325.84000000000003</v>
      </c>
      <c r="K12" s="9">
        <v>1075.1950000000002</v>
      </c>
      <c r="L12" s="9">
        <v>3010.3</v>
      </c>
      <c r="M12" s="9">
        <v>2084.6999999999998</v>
      </c>
    </row>
    <row r="13" spans="1:13" ht="18" customHeight="1">
      <c r="A13" s="2" t="s">
        <v>31</v>
      </c>
      <c r="B13" s="2" t="s">
        <v>26</v>
      </c>
      <c r="C13" s="9"/>
      <c r="D13" s="9"/>
      <c r="E13" s="9"/>
      <c r="F13" s="9"/>
      <c r="G13" s="9">
        <v>5867.2370000000001</v>
      </c>
      <c r="H13" s="9">
        <v>4191.26</v>
      </c>
      <c r="I13" s="9">
        <v>6089.7839999999997</v>
      </c>
      <c r="J13" s="9">
        <v>8044.9600000000009</v>
      </c>
      <c r="K13" s="9">
        <v>9931.6239999999998</v>
      </c>
      <c r="L13" s="9">
        <v>11218.5</v>
      </c>
      <c r="M13" s="9">
        <v>12912.1</v>
      </c>
    </row>
    <row r="14" spans="1:13" ht="18" customHeight="1">
      <c r="A14" s="2" t="s">
        <v>32</v>
      </c>
      <c r="B14" s="2" t="s">
        <v>26</v>
      </c>
      <c r="C14" s="9"/>
      <c r="D14" s="9"/>
      <c r="E14" s="9"/>
      <c r="F14" s="9"/>
      <c r="G14" s="9">
        <v>2911.6840000000002</v>
      </c>
      <c r="H14" s="9">
        <v>1612.884</v>
      </c>
      <c r="I14" s="9">
        <v>2286.837</v>
      </c>
      <c r="J14" s="9">
        <v>3646.8</v>
      </c>
      <c r="K14" s="9">
        <v>4623.9430000000002</v>
      </c>
      <c r="L14" s="9">
        <v>5753.1</v>
      </c>
      <c r="M14" s="9">
        <v>6548.2</v>
      </c>
    </row>
    <row r="15" spans="1:13" ht="18" customHeight="1">
      <c r="A15" s="2" t="s">
        <v>33</v>
      </c>
      <c r="B15" s="2" t="s">
        <v>26</v>
      </c>
      <c r="C15" s="9">
        <v>114.782</v>
      </c>
      <c r="D15" s="9">
        <v>123.83199999999999</v>
      </c>
      <c r="E15" s="9">
        <v>123.876</v>
      </c>
      <c r="F15" s="9">
        <v>139.79500000000002</v>
      </c>
      <c r="G15" s="9">
        <v>180.90799999999999</v>
      </c>
      <c r="H15" s="9">
        <v>54.321000000000005</v>
      </c>
      <c r="I15" s="9">
        <v>118.142</v>
      </c>
      <c r="J15" s="9">
        <v>287.24400000000003</v>
      </c>
      <c r="K15" s="9">
        <v>336.86099999999999</v>
      </c>
      <c r="L15" s="9">
        <v>383.4</v>
      </c>
      <c r="M15" s="9">
        <v>496.3</v>
      </c>
    </row>
    <row r="16" spans="1:13" ht="18" customHeight="1">
      <c r="A16" s="2" t="s">
        <v>34</v>
      </c>
      <c r="B16" s="2" t="s">
        <v>26</v>
      </c>
      <c r="C16" s="9">
        <v>-1.1319999999999999</v>
      </c>
      <c r="D16" s="9">
        <v>-0.29399999999999998</v>
      </c>
      <c r="E16" s="9">
        <v>1.2649999999999999</v>
      </c>
      <c r="F16" s="9">
        <v>-0.65500000000000003</v>
      </c>
      <c r="G16" s="9">
        <v>-3.0529999999999999</v>
      </c>
      <c r="H16" s="9">
        <v>1.161</v>
      </c>
      <c r="I16" s="9">
        <v>-1.677</v>
      </c>
      <c r="J16" s="9">
        <v>-1.244</v>
      </c>
      <c r="K16" s="9">
        <v>5.41</v>
      </c>
      <c r="L16" s="9">
        <v>-0.2</v>
      </c>
      <c r="M16" s="9">
        <v>-1.4</v>
      </c>
    </row>
    <row r="17" spans="1:13" ht="18" customHeight="1">
      <c r="A17" s="2" t="s">
        <v>35</v>
      </c>
      <c r="B17" s="2" t="s">
        <v>26</v>
      </c>
      <c r="C17" s="9">
        <v>1789.923</v>
      </c>
      <c r="D17" s="9">
        <v>2048.19</v>
      </c>
      <c r="E17" s="9">
        <v>2455.0219999999999</v>
      </c>
      <c r="F17" s="9">
        <v>3210.5569999999998</v>
      </c>
      <c r="G17" s="9">
        <v>4709.9589999999998</v>
      </c>
      <c r="H17" s="9">
        <v>3295.4919999999997</v>
      </c>
      <c r="I17" s="9">
        <v>3486.4430000000002</v>
      </c>
      <c r="J17" s="9">
        <v>4794.7519999999995</v>
      </c>
      <c r="K17" s="9">
        <v>6461.8559999999998</v>
      </c>
      <c r="L17" s="9">
        <v>7472.5</v>
      </c>
      <c r="M17" s="9">
        <v>8272.2000000000007</v>
      </c>
    </row>
    <row r="18" spans="1:13" ht="18" customHeight="1">
      <c r="A18" s="2" t="s">
        <v>36</v>
      </c>
      <c r="B18" s="2" t="s">
        <v>26</v>
      </c>
      <c r="C18" s="9"/>
      <c r="D18" s="9"/>
      <c r="E18" s="9"/>
      <c r="F18" s="9">
        <v>467.48700000000002</v>
      </c>
      <c r="G18" s="9">
        <v>1546.1890000000001</v>
      </c>
      <c r="H18" s="9">
        <v>-523.02599999999995</v>
      </c>
      <c r="I18" s="9">
        <v>940.83799999999997</v>
      </c>
      <c r="J18" s="9">
        <v>2959.7730000000001</v>
      </c>
      <c r="K18" s="9">
        <v>717.39700000000005</v>
      </c>
      <c r="L18" s="9">
        <v>1617.9</v>
      </c>
      <c r="M18" s="9">
        <v>8975.7000000000007</v>
      </c>
    </row>
    <row r="19" spans="1:13" ht="18" customHeight="1">
      <c r="A19" s="2" t="s">
        <v>37</v>
      </c>
      <c r="B19" s="2" t="s">
        <v>26</v>
      </c>
      <c r="C19" s="9">
        <v>3839.3710000000001</v>
      </c>
      <c r="D19" s="9">
        <v>4798.6239999999998</v>
      </c>
      <c r="E19" s="9">
        <v>6113.9260000000004</v>
      </c>
      <c r="F19" s="9">
        <v>7940.7790000000005</v>
      </c>
      <c r="G19" s="9">
        <v>3534.0039999999999</v>
      </c>
      <c r="H19" s="9">
        <v>1910.41</v>
      </c>
      <c r="I19" s="9">
        <v>2456.3069999999998</v>
      </c>
      <c r="J19" s="9">
        <v>4246.9610000000002</v>
      </c>
      <c r="K19" s="9">
        <v>5529.9070000000002</v>
      </c>
      <c r="L19" s="9">
        <v>7091.8</v>
      </c>
      <c r="M19" s="9">
        <v>8301.5</v>
      </c>
    </row>
    <row r="20" spans="1:13" ht="18" customHeight="1">
      <c r="A20" s="2" t="s">
        <v>38</v>
      </c>
      <c r="B20" s="2" t="s">
        <v>26</v>
      </c>
      <c r="C20" s="9">
        <v>503.07900000000001</v>
      </c>
      <c r="D20" s="9">
        <v>457.25299999999999</v>
      </c>
      <c r="E20" s="9">
        <v>436.87700000000007</v>
      </c>
      <c r="F20" s="9">
        <v>759.58</v>
      </c>
      <c r="G20" s="9">
        <v>3973.9290000000001</v>
      </c>
      <c r="H20" s="9">
        <v>4699.4459999999999</v>
      </c>
      <c r="I20" s="9">
        <v>5068.6000000000004</v>
      </c>
      <c r="J20" s="9">
        <v>5102.9690000000001</v>
      </c>
      <c r="K20" s="9">
        <v>6425.7290000000003</v>
      </c>
      <c r="L20" s="9">
        <v>8680.2000000000007</v>
      </c>
      <c r="M20" s="9">
        <v>10808.2</v>
      </c>
    </row>
    <row r="21" spans="1:13" ht="18" customHeight="1">
      <c r="A21" s="2" t="s">
        <v>39</v>
      </c>
      <c r="B21" s="2" t="s">
        <v>26</v>
      </c>
      <c r="C21" s="9">
        <v>134.85300000000001</v>
      </c>
      <c r="D21" s="9">
        <v>330.78000000000003</v>
      </c>
      <c r="E21" s="9">
        <v>339.815</v>
      </c>
      <c r="F21" s="9">
        <v>508.96300000000002</v>
      </c>
      <c r="G21" s="9">
        <v>1875.8710000000001</v>
      </c>
      <c r="H21" s="9">
        <v>2141.9830000000002</v>
      </c>
      <c r="I21" s="9">
        <v>2358.0150000000003</v>
      </c>
      <c r="J21" s="9">
        <v>3131.7310000000002</v>
      </c>
      <c r="K21" s="9">
        <v>4169.3540000000003</v>
      </c>
      <c r="L21" s="9">
        <v>5080</v>
      </c>
      <c r="M21" s="9">
        <v>5890.8</v>
      </c>
    </row>
    <row r="22" spans="1:13" ht="18" customHeight="1">
      <c r="A22" s="1" t="s">
        <v>40</v>
      </c>
      <c r="B22" s="1" t="s">
        <v>26</v>
      </c>
      <c r="C22" s="10">
        <v>13772.352000000001</v>
      </c>
      <c r="D22" s="10">
        <v>17225.271000000001</v>
      </c>
      <c r="E22" s="10">
        <v>20841.116000000002</v>
      </c>
      <c r="F22" s="10">
        <v>29968.748</v>
      </c>
      <c r="G22" s="10">
        <v>37547.178999999996</v>
      </c>
      <c r="H22" s="10">
        <v>21495.665000000001</v>
      </c>
      <c r="I22" s="10">
        <v>32810.209000000003</v>
      </c>
      <c r="J22" s="10">
        <v>56185.803</v>
      </c>
      <c r="K22" s="10">
        <v>63181.854000000007</v>
      </c>
      <c r="L22" s="10">
        <v>76504.800000000003</v>
      </c>
      <c r="M22" s="10">
        <v>89677.5</v>
      </c>
    </row>
    <row r="23" spans="1:13" ht="18" customHeight="1">
      <c r="A23" s="2" t="s">
        <v>41</v>
      </c>
      <c r="B23" s="2" t="s">
        <v>26</v>
      </c>
      <c r="C23" s="9"/>
      <c r="D23" s="9"/>
      <c r="E23" s="9"/>
      <c r="F23" s="9"/>
      <c r="G23" s="9"/>
      <c r="H23" s="9"/>
      <c r="I23" s="9"/>
      <c r="J23" s="9"/>
      <c r="K23" s="9"/>
      <c r="L23" s="9"/>
      <c r="M23" s="9">
        <v>1796.4</v>
      </c>
    </row>
    <row r="24" spans="1:13" ht="18" customHeight="1">
      <c r="A24" s="1" t="s">
        <v>42</v>
      </c>
      <c r="B24" s="1" t="s">
        <v>26</v>
      </c>
      <c r="C24" s="10">
        <v>2828.95</v>
      </c>
      <c r="D24" s="10">
        <v>2144.299</v>
      </c>
      <c r="E24" s="10">
        <v>3126.627</v>
      </c>
      <c r="F24" s="10">
        <v>-147.37799999999999</v>
      </c>
      <c r="G24" s="10">
        <v>-255.66900000000001</v>
      </c>
      <c r="H24" s="10">
        <v>-5818.07</v>
      </c>
      <c r="I24" s="10">
        <v>-6153.6839999999993</v>
      </c>
      <c r="J24" s="10">
        <v>-304.38499999999999</v>
      </c>
      <c r="K24" s="10">
        <v>8049.3089999999993</v>
      </c>
      <c r="L24" s="10">
        <v>7593.4</v>
      </c>
      <c r="M24" s="10">
        <v>-1960.5</v>
      </c>
    </row>
    <row r="25" spans="1:13" ht="18" customHeight="1">
      <c r="A25" s="1" t="s">
        <v>43</v>
      </c>
      <c r="B25" s="1" t="s">
        <v>26</v>
      </c>
      <c r="C25" s="10">
        <v>839.2299999999999</v>
      </c>
      <c r="D25" s="10">
        <v>485.15199999999999</v>
      </c>
      <c r="E25" s="10">
        <v>884.30300000000011</v>
      </c>
      <c r="F25" s="10">
        <v>-304.625</v>
      </c>
      <c r="G25" s="10">
        <v>-21.991</v>
      </c>
      <c r="H25" s="10">
        <v>-11.643000000000001</v>
      </c>
      <c r="I25" s="10">
        <v>8.1609999999999996</v>
      </c>
      <c r="J25" s="10">
        <v>1.4039999999999999</v>
      </c>
      <c r="K25" s="10">
        <v>-123.15900000000001</v>
      </c>
      <c r="L25" s="10">
        <v>335</v>
      </c>
      <c r="M25" s="10">
        <v>433.1</v>
      </c>
    </row>
    <row r="26" spans="1:13" ht="18" customHeight="1">
      <c r="A26" s="1" t="s">
        <v>44</v>
      </c>
      <c r="B26" s="1" t="s">
        <v>26</v>
      </c>
      <c r="C26" s="10">
        <v>1989.72</v>
      </c>
      <c r="D26" s="10">
        <v>1659.1470000000002</v>
      </c>
      <c r="E26" s="10">
        <v>2242.3240000000001</v>
      </c>
      <c r="F26" s="10">
        <v>157.24700000000001</v>
      </c>
      <c r="G26" s="10">
        <v>-233.67800000000005</v>
      </c>
      <c r="H26" s="10">
        <v>-5806.4269999999997</v>
      </c>
      <c r="I26" s="10">
        <v>-6161.8449999999993</v>
      </c>
      <c r="J26" s="10">
        <v>-305.78899999999999</v>
      </c>
      <c r="K26" s="10">
        <v>8172.4679999999989</v>
      </c>
      <c r="L26" s="10">
        <v>7258.4</v>
      </c>
      <c r="M26" s="10">
        <v>-2393.6</v>
      </c>
    </row>
    <row r="27" spans="1:13" ht="18" customHeight="1">
      <c r="A27" s="2" t="s">
        <v>45</v>
      </c>
      <c r="B27" s="2" t="s">
        <v>46</v>
      </c>
      <c r="C27" s="11">
        <v>58.17</v>
      </c>
      <c r="D27" s="11">
        <v>45.94</v>
      </c>
      <c r="E27" s="11">
        <v>60.03</v>
      </c>
      <c r="F27" s="11">
        <v>4.09</v>
      </c>
      <c r="G27" s="11">
        <v>-6.07</v>
      </c>
      <c r="H27" s="11">
        <v>-150.88999999999999</v>
      </c>
      <c r="I27" s="11">
        <v>-160.01</v>
      </c>
      <c r="J27" s="11">
        <v>-7.93</v>
      </c>
      <c r="K27" s="11">
        <v>211.84</v>
      </c>
      <c r="L27" s="11">
        <v>187.93</v>
      </c>
      <c r="M27" s="11">
        <v>-61.88</v>
      </c>
    </row>
    <row r="28" spans="1:13" ht="18" customHeight="1">
      <c r="A28" s="2" t="s">
        <v>47</v>
      </c>
      <c r="B28" s="2" t="s">
        <v>46</v>
      </c>
      <c r="C28" s="11">
        <v>56.49</v>
      </c>
      <c r="D28" s="11">
        <v>45.85</v>
      </c>
      <c r="E28" s="11">
        <v>59.9</v>
      </c>
      <c r="F28" s="11">
        <v>4.09</v>
      </c>
      <c r="G28" s="11">
        <v>-6.07</v>
      </c>
      <c r="H28" s="11">
        <v>-150.88999999999999</v>
      </c>
      <c r="I28" s="11">
        <v>-160.01</v>
      </c>
      <c r="J28" s="11">
        <v>-7.93</v>
      </c>
      <c r="K28" s="11">
        <v>211.61</v>
      </c>
      <c r="L28" s="11">
        <v>187.67</v>
      </c>
      <c r="M28" s="11">
        <v>-61.88</v>
      </c>
    </row>
    <row r="29" spans="1:13" ht="18" customHeight="1">
      <c r="A29" s="5" t="s">
        <v>48</v>
      </c>
      <c r="B29" s="5" t="s">
        <v>26</v>
      </c>
      <c r="C29" s="8">
        <f t="shared" ref="C29:M29" si="1">SUM(C11:C21)-C22</f>
        <v>0</v>
      </c>
      <c r="D29" s="8">
        <f t="shared" si="1"/>
        <v>0</v>
      </c>
      <c r="E29" s="8">
        <f t="shared" si="1"/>
        <v>0</v>
      </c>
      <c r="F29" s="8">
        <f t="shared" si="1"/>
        <v>0</v>
      </c>
      <c r="G29" s="8">
        <f t="shared" si="1"/>
        <v>0</v>
      </c>
      <c r="H29" s="8">
        <f t="shared" si="1"/>
        <v>0</v>
      </c>
      <c r="I29" s="8">
        <f t="shared" si="1"/>
        <v>0</v>
      </c>
      <c r="J29" s="8">
        <f t="shared" si="1"/>
        <v>0</v>
      </c>
      <c r="K29" s="8">
        <f t="shared" si="1"/>
        <v>0</v>
      </c>
      <c r="L29" s="8">
        <f t="shared" si="1"/>
        <v>0</v>
      </c>
      <c r="M29" s="8">
        <f t="shared" si="1"/>
        <v>0</v>
      </c>
    </row>
    <row r="30" spans="1:13" ht="18" customHeight="1">
      <c r="A30" s="5" t="s">
        <v>49</v>
      </c>
      <c r="B30" s="5" t="s">
        <v>26</v>
      </c>
      <c r="C30" s="8">
        <f t="shared" ref="C30:M30" si="2">C10-C22-C23-C24</f>
        <v>0</v>
      </c>
      <c r="D30" s="8">
        <f t="shared" si="2"/>
        <v>0</v>
      </c>
      <c r="E30" s="8">
        <f t="shared" si="2"/>
        <v>0</v>
      </c>
      <c r="F30" s="8">
        <f t="shared" si="2"/>
        <v>-4.2632564145606011E-12</v>
      </c>
      <c r="G30" s="8">
        <f t="shared" si="2"/>
        <v>5.5990767577895895E-12</v>
      </c>
      <c r="H30" s="8">
        <f t="shared" si="2"/>
        <v>0</v>
      </c>
      <c r="I30" s="8">
        <f t="shared" si="2"/>
        <v>0</v>
      </c>
      <c r="J30" s="8">
        <f t="shared" si="2"/>
        <v>-2.0463630789890885E-12</v>
      </c>
      <c r="K30" s="8">
        <f t="shared" si="2"/>
        <v>0</v>
      </c>
      <c r="L30" s="8">
        <f t="shared" si="2"/>
        <v>0</v>
      </c>
      <c r="M30" s="8">
        <f t="shared" si="2"/>
        <v>-5.9117155615240335E-12</v>
      </c>
    </row>
    <row r="31" spans="1:13" ht="18" customHeight="1">
      <c r="A31" s="2"/>
      <c r="B31" s="2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</row>
    <row r="32" spans="1:13" ht="18" customHeight="1">
      <c r="A32" s="141" t="s">
        <v>50</v>
      </c>
      <c r="B32" s="141"/>
      <c r="C32" s="144"/>
      <c r="D32" s="144"/>
      <c r="E32" s="144"/>
      <c r="F32" s="144"/>
      <c r="G32" s="144"/>
      <c r="H32" s="144"/>
      <c r="I32" s="144"/>
      <c r="J32" s="144"/>
      <c r="K32" s="144"/>
      <c r="L32" s="144"/>
      <c r="M32" s="144"/>
    </row>
    <row r="33" spans="1:13" ht="18" customHeight="1">
      <c r="A33" s="2" t="s">
        <v>51</v>
      </c>
      <c r="B33" s="2" t="s">
        <v>26</v>
      </c>
      <c r="C33" s="9">
        <v>4675.5150000000003</v>
      </c>
      <c r="D33" s="9">
        <v>3747.4720000000002</v>
      </c>
      <c r="E33" s="9">
        <v>4534.7559999999994</v>
      </c>
      <c r="F33" s="9">
        <v>5631.5540000000001</v>
      </c>
      <c r="G33" s="9">
        <v>2499.569</v>
      </c>
      <c r="H33" s="9">
        <v>796.96600000000001</v>
      </c>
      <c r="I33" s="9">
        <v>823.95300000000009</v>
      </c>
      <c r="J33" s="9">
        <v>1111.1690000000001</v>
      </c>
      <c r="K33" s="9">
        <v>1902.912</v>
      </c>
      <c r="L33" s="9">
        <v>2677.9</v>
      </c>
      <c r="M33" s="9">
        <v>11087.1</v>
      </c>
    </row>
    <row r="34" spans="1:13" ht="18" customHeight="1">
      <c r="A34" s="2" t="s">
        <v>52</v>
      </c>
      <c r="B34" s="2" t="s">
        <v>26</v>
      </c>
      <c r="C34" s="9">
        <v>0</v>
      </c>
      <c r="D34" s="9">
        <v>0</v>
      </c>
      <c r="E34" s="9">
        <v>0</v>
      </c>
      <c r="F34" s="9">
        <v>0</v>
      </c>
      <c r="G34" s="9">
        <v>14246.138000000001</v>
      </c>
      <c r="H34" s="9">
        <v>17986.170999999998</v>
      </c>
      <c r="I34" s="9">
        <v>20438.148000000001</v>
      </c>
      <c r="J34" s="9">
        <v>26536.495000000003</v>
      </c>
      <c r="K34" s="9">
        <v>34202.308000000005</v>
      </c>
      <c r="L34" s="9">
        <v>49073.9</v>
      </c>
      <c r="M34" s="9">
        <v>52054</v>
      </c>
    </row>
    <row r="35" spans="1:13" ht="18" customHeight="1">
      <c r="A35" s="2" t="s">
        <v>53</v>
      </c>
      <c r="B35" s="2" t="s">
        <v>26</v>
      </c>
      <c r="C35" s="9">
        <v>23.734000000000002</v>
      </c>
      <c r="D35" s="9">
        <v>23.303000000000001</v>
      </c>
      <c r="E35" s="9">
        <v>29.42</v>
      </c>
      <c r="F35" s="9">
        <v>22.015000000000001</v>
      </c>
      <c r="G35" s="9">
        <v>129.27000000000001</v>
      </c>
      <c r="H35" s="9">
        <v>66.350999999999999</v>
      </c>
      <c r="I35" s="9">
        <v>119.318</v>
      </c>
      <c r="J35" s="9">
        <v>0</v>
      </c>
      <c r="K35" s="9">
        <v>0.14299999999999999</v>
      </c>
      <c r="L35" s="9">
        <v>0.7</v>
      </c>
      <c r="M35" s="9">
        <v>38.700000000000003</v>
      </c>
    </row>
    <row r="36" spans="1:13" ht="18" customHeight="1">
      <c r="A36" s="2" t="s">
        <v>54</v>
      </c>
      <c r="B36" s="2" t="s">
        <v>26</v>
      </c>
      <c r="C36" s="9">
        <v>19.974</v>
      </c>
      <c r="D36" s="9">
        <v>46.369</v>
      </c>
      <c r="E36" s="9">
        <v>44.052999999999997</v>
      </c>
      <c r="F36" s="9">
        <v>30.488</v>
      </c>
      <c r="G36" s="9">
        <v>33.591000000000001</v>
      </c>
      <c r="H36" s="9">
        <v>33.495999999999995</v>
      </c>
      <c r="I36" s="9">
        <v>21.562000000000001</v>
      </c>
      <c r="J36" s="9">
        <v>10.727</v>
      </c>
      <c r="K36" s="9">
        <v>48.326999999999998</v>
      </c>
      <c r="L36" s="9">
        <v>29.9</v>
      </c>
      <c r="M36" s="9">
        <v>16</v>
      </c>
    </row>
    <row r="37" spans="1:13" ht="18" customHeight="1">
      <c r="A37" s="2" t="s">
        <v>55</v>
      </c>
      <c r="B37" s="2" t="s">
        <v>26</v>
      </c>
      <c r="C37" s="9">
        <v>8.2309999999999999</v>
      </c>
      <c r="D37" s="9">
        <v>1.883</v>
      </c>
      <c r="E37" s="9">
        <v>3.07</v>
      </c>
      <c r="F37" s="9">
        <v>1.6140000000000001</v>
      </c>
      <c r="G37" s="9">
        <v>10.968999999999999</v>
      </c>
      <c r="H37" s="9">
        <v>5.4189999999999996</v>
      </c>
      <c r="I37" s="9">
        <v>6.0389999999999997</v>
      </c>
      <c r="J37" s="9">
        <v>20.817</v>
      </c>
      <c r="K37" s="9">
        <v>1.339</v>
      </c>
      <c r="L37" s="9">
        <v>2.2999999999999998</v>
      </c>
      <c r="M37" s="9">
        <v>20.6</v>
      </c>
    </row>
    <row r="38" spans="1:13" ht="18" customHeight="1">
      <c r="A38" s="2" t="s">
        <v>56</v>
      </c>
      <c r="B38" s="2" t="s">
        <v>26</v>
      </c>
      <c r="C38" s="9">
        <v>2.5000000000000001E-2</v>
      </c>
      <c r="D38" s="9">
        <v>1.7999999999999999E-2</v>
      </c>
      <c r="E38" s="9">
        <v>1.7000000000000001E-2</v>
      </c>
      <c r="F38" s="9">
        <v>1.4999999999999999E-2</v>
      </c>
      <c r="G38" s="9">
        <v>7.4999999999999997E-2</v>
      </c>
      <c r="H38" s="9">
        <v>8.299999999999999E-2</v>
      </c>
      <c r="I38" s="9">
        <v>1.2E-2</v>
      </c>
      <c r="J38" s="9">
        <v>6.8000000000000005E-2</v>
      </c>
      <c r="K38" s="9">
        <v>974.83900000000006</v>
      </c>
      <c r="L38" s="9">
        <v>1318.3</v>
      </c>
      <c r="M38" s="9">
        <v>1931</v>
      </c>
    </row>
    <row r="39" spans="1:13" ht="18" customHeight="1">
      <c r="A39" s="2" t="s">
        <v>57</v>
      </c>
      <c r="B39" s="2" t="s">
        <v>26</v>
      </c>
      <c r="C39" s="9">
        <v>1193.0619999999999</v>
      </c>
      <c r="D39" s="9">
        <v>544.02600000000007</v>
      </c>
      <c r="E39" s="9">
        <v>683.13400000000001</v>
      </c>
      <c r="F39" s="9">
        <v>584.39700000000005</v>
      </c>
      <c r="G39" s="9">
        <v>1275.9540000000002</v>
      </c>
      <c r="H39" s="9">
        <v>1580.6569999999999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</row>
    <row r="40" spans="1:13" ht="18" customHeight="1">
      <c r="A40" s="2" t="s">
        <v>58</v>
      </c>
      <c r="B40" s="2" t="s">
        <v>26</v>
      </c>
      <c r="C40" s="9">
        <v>0</v>
      </c>
      <c r="D40" s="9">
        <v>1035.6389999999999</v>
      </c>
      <c r="E40" s="9">
        <v>819.52199999999993</v>
      </c>
      <c r="F40" s="9">
        <v>198.821</v>
      </c>
      <c r="G40" s="9">
        <v>5.83</v>
      </c>
      <c r="H40" s="9">
        <v>1.6339999999999999</v>
      </c>
      <c r="I40" s="9">
        <v>2091.1220000000003</v>
      </c>
      <c r="J40" s="9">
        <v>2449.9659999999999</v>
      </c>
      <c r="K40" s="9">
        <v>5296.2160000000003</v>
      </c>
      <c r="L40" s="9">
        <v>7493.3</v>
      </c>
      <c r="M40" s="9">
        <v>7110.7</v>
      </c>
    </row>
    <row r="41" spans="1:13" ht="18" customHeight="1">
      <c r="A41" s="2" t="s">
        <v>59</v>
      </c>
      <c r="B41" s="2" t="s">
        <v>26</v>
      </c>
      <c r="C41" s="9">
        <v>0</v>
      </c>
      <c r="D41" s="9">
        <v>0</v>
      </c>
      <c r="E41" s="9">
        <v>0</v>
      </c>
      <c r="F41" s="9">
        <v>0.96699999999999997</v>
      </c>
      <c r="G41" s="9">
        <v>299.28200000000004</v>
      </c>
      <c r="H41" s="9">
        <v>302.69299999999998</v>
      </c>
      <c r="I41" s="9">
        <v>294.94400000000002</v>
      </c>
      <c r="J41" s="9">
        <v>294.94400000000002</v>
      </c>
      <c r="K41" s="9">
        <v>419.18799999999999</v>
      </c>
      <c r="L41" s="9">
        <v>419.2</v>
      </c>
      <c r="M41" s="9">
        <v>0</v>
      </c>
    </row>
    <row r="42" spans="1:13" ht="18" customHeight="1">
      <c r="A42" s="2" t="s">
        <v>60</v>
      </c>
      <c r="B42" s="2" t="s">
        <v>26</v>
      </c>
      <c r="C42" s="9">
        <v>0</v>
      </c>
      <c r="D42" s="9">
        <v>9.76</v>
      </c>
      <c r="E42" s="9">
        <v>38.639000000000003</v>
      </c>
      <c r="F42" s="9">
        <v>124.04900000000001</v>
      </c>
      <c r="G42" s="9">
        <v>429.67099999999999</v>
      </c>
      <c r="H42" s="9">
        <v>513.95299999999997</v>
      </c>
      <c r="I42" s="9">
        <v>711.92200000000003</v>
      </c>
      <c r="J42" s="9">
        <v>1099.787</v>
      </c>
      <c r="K42" s="9">
        <v>1610.098</v>
      </c>
      <c r="L42" s="9">
        <v>1708</v>
      </c>
      <c r="M42" s="9">
        <v>1977.5</v>
      </c>
    </row>
    <row r="43" spans="1:13" ht="18" customHeight="1">
      <c r="A43" s="2" t="s">
        <v>61</v>
      </c>
      <c r="B43" s="2" t="s">
        <v>26</v>
      </c>
      <c r="C43" s="9">
        <v>1497.7840000000001</v>
      </c>
      <c r="D43" s="9">
        <v>354.87400000000002</v>
      </c>
      <c r="E43" s="9">
        <v>345.12200000000001</v>
      </c>
      <c r="F43" s="9">
        <v>315.87599999999998</v>
      </c>
      <c r="G43" s="9">
        <v>714.26900000000001</v>
      </c>
      <c r="H43" s="9">
        <v>949.81299999999999</v>
      </c>
      <c r="I43" s="9">
        <v>1226.6990000000001</v>
      </c>
      <c r="J43" s="9">
        <v>1497.1320000000001</v>
      </c>
      <c r="K43" s="9">
        <v>1916.03</v>
      </c>
      <c r="L43" s="9">
        <v>2416.9</v>
      </c>
      <c r="M43" s="9">
        <v>3837.3</v>
      </c>
    </row>
    <row r="44" spans="1:13" ht="18" customHeight="1">
      <c r="A44" s="1" t="s">
        <v>62</v>
      </c>
      <c r="B44" s="1" t="s">
        <v>26</v>
      </c>
      <c r="C44" s="57">
        <f t="shared" ref="C44:M44" si="3">SUM(C33:C43)</f>
        <v>7418.3250000000007</v>
      </c>
      <c r="D44" s="57">
        <f t="shared" si="3"/>
        <v>5763.3440000000001</v>
      </c>
      <c r="E44" s="57">
        <f t="shared" si="3"/>
        <v>6497.7329999999993</v>
      </c>
      <c r="F44" s="57">
        <f t="shared" si="3"/>
        <v>6909.7960000000003</v>
      </c>
      <c r="G44" s="57">
        <f t="shared" si="3"/>
        <v>19644.618000000006</v>
      </c>
      <c r="H44" s="57">
        <f t="shared" si="3"/>
        <v>22237.235999999994</v>
      </c>
      <c r="I44" s="57">
        <f t="shared" si="3"/>
        <v>25733.719000000001</v>
      </c>
      <c r="J44" s="57">
        <f t="shared" si="3"/>
        <v>33021.105000000003</v>
      </c>
      <c r="K44" s="57">
        <f t="shared" si="3"/>
        <v>46371.399999999994</v>
      </c>
      <c r="L44" s="57">
        <f t="shared" si="3"/>
        <v>65140.400000000009</v>
      </c>
      <c r="M44" s="57">
        <f t="shared" si="3"/>
        <v>78072.899999999994</v>
      </c>
    </row>
    <row r="45" spans="1:13" ht="18" customHeight="1">
      <c r="A45" s="2" t="s">
        <v>63</v>
      </c>
      <c r="B45" s="2" t="s">
        <v>26</v>
      </c>
      <c r="C45" s="9">
        <v>126.72</v>
      </c>
      <c r="D45" s="9">
        <v>163.15</v>
      </c>
      <c r="E45" s="9">
        <v>183.227</v>
      </c>
      <c r="F45" s="9">
        <v>211.44099999999997</v>
      </c>
      <c r="G45" s="9">
        <v>286.12800000000004</v>
      </c>
      <c r="H45" s="9">
        <v>316.41800000000001</v>
      </c>
      <c r="I45" s="9">
        <v>408.06299999999999</v>
      </c>
      <c r="J45" s="9">
        <v>591.06700000000001</v>
      </c>
      <c r="K45" s="9">
        <v>624.798</v>
      </c>
      <c r="L45" s="9">
        <v>820.3</v>
      </c>
      <c r="M45" s="9">
        <v>984.8</v>
      </c>
    </row>
    <row r="46" spans="1:13" ht="18" customHeight="1">
      <c r="A46" s="2" t="s">
        <v>64</v>
      </c>
      <c r="B46" s="2" t="s">
        <v>26</v>
      </c>
      <c r="C46" s="9">
        <v>974.12</v>
      </c>
      <c r="D46" s="9">
        <v>3713.41</v>
      </c>
      <c r="E46" s="9">
        <v>6343.9120000000003</v>
      </c>
      <c r="F46" s="9">
        <v>6516.57</v>
      </c>
      <c r="G46" s="9">
        <v>9499.1669999999995</v>
      </c>
      <c r="H46" s="9">
        <v>7339.4059999999999</v>
      </c>
      <c r="I46" s="9">
        <v>8106.4719999999998</v>
      </c>
      <c r="J46" s="9">
        <v>11558.029</v>
      </c>
      <c r="K46" s="9">
        <v>15571.123</v>
      </c>
      <c r="L46" s="9">
        <v>24774.799999999999</v>
      </c>
      <c r="M46" s="9">
        <v>25743.8</v>
      </c>
    </row>
    <row r="47" spans="1:13" ht="18" customHeight="1">
      <c r="A47" s="2" t="s">
        <v>65</v>
      </c>
      <c r="B47" s="2" t="s">
        <v>26</v>
      </c>
      <c r="C47" s="9">
        <v>157.114</v>
      </c>
      <c r="D47" s="9">
        <v>158.702</v>
      </c>
      <c r="E47" s="9">
        <v>226.315</v>
      </c>
      <c r="F47" s="9">
        <v>362.46699999999998</v>
      </c>
      <c r="G47" s="9">
        <v>259.416</v>
      </c>
      <c r="H47" s="9">
        <v>218.97800000000001</v>
      </c>
      <c r="I47" s="9">
        <v>332.923</v>
      </c>
      <c r="J47" s="9">
        <v>519.904</v>
      </c>
      <c r="K47" s="9">
        <v>642.52299999999991</v>
      </c>
      <c r="L47" s="9">
        <v>739.7</v>
      </c>
      <c r="M47" s="9">
        <v>599.6</v>
      </c>
    </row>
    <row r="48" spans="1:13" ht="18" customHeight="1">
      <c r="A48" s="2" t="s">
        <v>66</v>
      </c>
      <c r="B48" s="2" t="s">
        <v>26</v>
      </c>
      <c r="C48" s="9">
        <v>805.36800000000005</v>
      </c>
      <c r="D48" s="9">
        <v>153.119</v>
      </c>
      <c r="E48" s="9">
        <v>670.71800000000007</v>
      </c>
      <c r="F48" s="9">
        <v>728.41700000000003</v>
      </c>
      <c r="G48" s="9">
        <v>719.06600000000003</v>
      </c>
      <c r="H48" s="9">
        <v>508.8850000000001</v>
      </c>
      <c r="I48" s="9">
        <v>1015.329</v>
      </c>
      <c r="J48" s="9">
        <v>1267.9690000000001</v>
      </c>
      <c r="K48" s="9">
        <v>695.27700000000004</v>
      </c>
      <c r="L48" s="9">
        <v>1073.0999999999999</v>
      </c>
      <c r="M48" s="9">
        <v>1323.9</v>
      </c>
    </row>
    <row r="49" spans="1:13" ht="18" customHeight="1">
      <c r="A49" s="2" t="s">
        <v>67</v>
      </c>
      <c r="B49" s="2" t="s">
        <v>26</v>
      </c>
      <c r="C49" s="9">
        <v>2913.3020000000001</v>
      </c>
      <c r="D49" s="9">
        <v>4479.4260000000004</v>
      </c>
      <c r="E49" s="9">
        <v>5909.973</v>
      </c>
      <c r="F49" s="9">
        <v>7893.58</v>
      </c>
      <c r="G49" s="9">
        <v>10153.364</v>
      </c>
      <c r="H49" s="9">
        <v>10718.78</v>
      </c>
      <c r="I49" s="9">
        <v>9104.8119999999999</v>
      </c>
      <c r="J49" s="9">
        <v>10571.716</v>
      </c>
      <c r="K49" s="9">
        <v>16025.329999999998</v>
      </c>
      <c r="L49" s="9">
        <v>17889.8</v>
      </c>
      <c r="M49" s="9">
        <v>22675.4</v>
      </c>
    </row>
    <row r="50" spans="1:13" ht="18" customHeight="1">
      <c r="A50" s="2" t="s">
        <v>68</v>
      </c>
      <c r="B50" s="2" t="s">
        <v>26</v>
      </c>
      <c r="C50" s="9">
        <v>224.875</v>
      </c>
      <c r="D50" s="9">
        <v>3.976</v>
      </c>
      <c r="E50" s="9">
        <v>191.495</v>
      </c>
      <c r="F50" s="9">
        <v>466.96100000000001</v>
      </c>
      <c r="G50" s="9">
        <v>455.12299999999993</v>
      </c>
      <c r="H50" s="9">
        <v>128.60399999999998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</row>
    <row r="51" spans="1:13" ht="18" customHeight="1">
      <c r="A51" s="2" t="s">
        <v>69</v>
      </c>
      <c r="B51" s="2" t="s">
        <v>26</v>
      </c>
      <c r="C51" s="9">
        <v>0</v>
      </c>
      <c r="D51" s="9">
        <v>410.08600000000001</v>
      </c>
      <c r="E51" s="9">
        <v>458.00099999999998</v>
      </c>
      <c r="F51" s="9">
        <v>792.52</v>
      </c>
      <c r="G51" s="9">
        <v>623.12699999999995</v>
      </c>
      <c r="H51" s="9">
        <v>619.28599999999994</v>
      </c>
      <c r="I51" s="9">
        <v>328.11</v>
      </c>
      <c r="J51" s="9">
        <v>1039.7670000000001</v>
      </c>
      <c r="K51" s="9">
        <v>1728.191</v>
      </c>
      <c r="L51" s="9">
        <v>3586.7</v>
      </c>
      <c r="M51" s="9">
        <v>4794.7</v>
      </c>
    </row>
    <row r="52" spans="1:13" ht="18" customHeight="1">
      <c r="A52" s="2" t="s">
        <v>70</v>
      </c>
      <c r="B52" s="2" t="s">
        <v>26</v>
      </c>
      <c r="C52" s="9">
        <v>399.28699999999998</v>
      </c>
      <c r="D52" s="9">
        <v>364.52300000000002</v>
      </c>
      <c r="E52" s="9">
        <v>647.92200000000003</v>
      </c>
      <c r="F52" s="9">
        <v>1145.0899999999999</v>
      </c>
      <c r="G52" s="9">
        <v>461.06900000000002</v>
      </c>
      <c r="H52" s="9">
        <v>818.21600000000001</v>
      </c>
      <c r="I52" s="9">
        <v>933.17</v>
      </c>
      <c r="J52" s="9">
        <v>600.26199999999994</v>
      </c>
      <c r="K52" s="9">
        <v>565.875</v>
      </c>
      <c r="L52" s="9">
        <v>1818.7</v>
      </c>
      <c r="M52" s="9">
        <v>1807</v>
      </c>
    </row>
    <row r="53" spans="1:13" ht="18" customHeight="1">
      <c r="A53" s="1" t="s">
        <v>71</v>
      </c>
      <c r="B53" s="1" t="s">
        <v>26</v>
      </c>
      <c r="C53" s="57">
        <f t="shared" ref="C53:M53" si="4">SUM(C45:C52)</f>
        <v>5600.7860000000001</v>
      </c>
      <c r="D53" s="57">
        <f t="shared" si="4"/>
        <v>9446.3919999999998</v>
      </c>
      <c r="E53" s="57">
        <f t="shared" si="4"/>
        <v>14631.563000000002</v>
      </c>
      <c r="F53" s="57">
        <f t="shared" si="4"/>
        <v>18117.045999999998</v>
      </c>
      <c r="G53" s="57">
        <f t="shared" si="4"/>
        <v>22456.46</v>
      </c>
      <c r="H53" s="57">
        <f t="shared" si="4"/>
        <v>20668.573</v>
      </c>
      <c r="I53" s="57">
        <f t="shared" si="4"/>
        <v>20228.879000000001</v>
      </c>
      <c r="J53" s="57">
        <f t="shared" si="4"/>
        <v>26148.714</v>
      </c>
      <c r="K53" s="57">
        <f t="shared" si="4"/>
        <v>35853.116999999991</v>
      </c>
      <c r="L53" s="57">
        <f t="shared" si="4"/>
        <v>50703.099999999991</v>
      </c>
      <c r="M53" s="57">
        <f t="shared" si="4"/>
        <v>57929.2</v>
      </c>
    </row>
    <row r="54" spans="1:13" ht="18" customHeight="1">
      <c r="A54" s="1" t="s">
        <v>72</v>
      </c>
      <c r="B54" s="1" t="s">
        <v>26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145.34399999999999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</row>
    <row r="55" spans="1:13" ht="18" customHeight="1">
      <c r="A55" s="1" t="s">
        <v>73</v>
      </c>
      <c r="B55" s="1" t="s">
        <v>26</v>
      </c>
      <c r="C55" s="57">
        <f t="shared" ref="C55:M55" si="5">C44+C53+C54</f>
        <v>13019.111000000001</v>
      </c>
      <c r="D55" s="57">
        <f t="shared" si="5"/>
        <v>15209.736000000001</v>
      </c>
      <c r="E55" s="57">
        <f t="shared" si="5"/>
        <v>21129.296000000002</v>
      </c>
      <c r="F55" s="57">
        <f t="shared" si="5"/>
        <v>25026.841999999997</v>
      </c>
      <c r="G55" s="57">
        <f t="shared" si="5"/>
        <v>42101.078000000009</v>
      </c>
      <c r="H55" s="57">
        <f t="shared" si="5"/>
        <v>43051.152999999991</v>
      </c>
      <c r="I55" s="57">
        <f t="shared" si="5"/>
        <v>45962.597999999998</v>
      </c>
      <c r="J55" s="57">
        <f t="shared" si="5"/>
        <v>59169.819000000003</v>
      </c>
      <c r="K55" s="57">
        <f t="shared" si="5"/>
        <v>82224.516999999993</v>
      </c>
      <c r="L55" s="57">
        <f t="shared" si="5"/>
        <v>115843.5</v>
      </c>
      <c r="M55" s="57">
        <f t="shared" si="5"/>
        <v>136002.09999999998</v>
      </c>
    </row>
    <row r="56" spans="1:13" ht="18" customHeight="1">
      <c r="A56" s="2" t="s">
        <v>74</v>
      </c>
      <c r="B56" s="2" t="s">
        <v>26</v>
      </c>
      <c r="C56" s="9">
        <v>360.35700000000003</v>
      </c>
      <c r="D56" s="9">
        <v>361.46800000000002</v>
      </c>
      <c r="E56" s="9">
        <v>384.40699999999998</v>
      </c>
      <c r="F56" s="9">
        <v>384.40699999999998</v>
      </c>
      <c r="G56" s="9">
        <v>384.79599999999999</v>
      </c>
      <c r="H56" s="9">
        <v>384.91</v>
      </c>
      <c r="I56" s="9">
        <v>385.255</v>
      </c>
      <c r="J56" s="9">
        <v>385.54700000000003</v>
      </c>
      <c r="K56" s="9">
        <v>385.97899999999998</v>
      </c>
      <c r="L56" s="9">
        <v>386.4</v>
      </c>
      <c r="M56" s="9">
        <v>386.6</v>
      </c>
    </row>
    <row r="57" spans="1:13" ht="18" customHeight="1">
      <c r="A57" s="2" t="s">
        <v>75</v>
      </c>
      <c r="B57" s="2" t="s">
        <v>26</v>
      </c>
      <c r="C57" s="9">
        <v>1473.92</v>
      </c>
      <c r="D57" s="9">
        <v>3417.7080000000001</v>
      </c>
      <c r="E57" s="9">
        <v>6692.9479999999994</v>
      </c>
      <c r="F57" s="9">
        <v>6561.4030000000002</v>
      </c>
      <c r="G57" s="9">
        <v>5493.1440000000002</v>
      </c>
      <c r="H57" s="9">
        <v>-274.05100000000004</v>
      </c>
      <c r="I57" s="9">
        <v>-6373.317</v>
      </c>
      <c r="J57" s="9">
        <v>-6632.0630000000001</v>
      </c>
      <c r="K57" s="9">
        <v>1610.453</v>
      </c>
      <c r="L57" s="9">
        <v>8981.7999999999993</v>
      </c>
      <c r="M57" s="9">
        <v>6584.5</v>
      </c>
    </row>
    <row r="58" spans="1:13" ht="18" customHeight="1">
      <c r="A58" s="1" t="s">
        <v>252</v>
      </c>
      <c r="B58" s="1" t="s">
        <v>26</v>
      </c>
      <c r="C58" s="10">
        <v>1834.277</v>
      </c>
      <c r="D58" s="10">
        <v>3779.1759999999999</v>
      </c>
      <c r="E58" s="10">
        <v>7077.3550000000005</v>
      </c>
      <c r="F58" s="10">
        <v>6945.81</v>
      </c>
      <c r="G58" s="10">
        <v>5877.9400000000005</v>
      </c>
      <c r="H58" s="10">
        <v>110.85899999999999</v>
      </c>
      <c r="I58" s="10">
        <v>-5988.0619999999999</v>
      </c>
      <c r="J58" s="10">
        <v>-6246.5160000000005</v>
      </c>
      <c r="K58" s="10">
        <v>1996.432</v>
      </c>
      <c r="L58" s="10">
        <v>9368.2000000000007</v>
      </c>
      <c r="M58" s="10">
        <v>6987.4</v>
      </c>
    </row>
    <row r="59" spans="1:13" ht="18" customHeight="1">
      <c r="A59" s="1" t="s">
        <v>77</v>
      </c>
      <c r="B59" s="1" t="s">
        <v>26</v>
      </c>
      <c r="C59" s="10">
        <v>2949.8609999999999</v>
      </c>
      <c r="D59" s="10">
        <v>2395.7080000000001</v>
      </c>
      <c r="E59" s="10">
        <v>2241.37</v>
      </c>
      <c r="F59" s="10">
        <v>2193.6689999999999</v>
      </c>
      <c r="G59" s="10">
        <v>346.58699999999999</v>
      </c>
      <c r="H59" s="10">
        <v>381.62799999999999</v>
      </c>
      <c r="I59" s="10">
        <v>416.17099999999999</v>
      </c>
      <c r="J59" s="10">
        <v>0</v>
      </c>
      <c r="K59" s="10">
        <v>0</v>
      </c>
      <c r="L59" s="10">
        <v>0</v>
      </c>
      <c r="M59" s="10">
        <v>0</v>
      </c>
    </row>
    <row r="60" spans="1:13" ht="18" customHeight="1">
      <c r="A60" s="2" t="s">
        <v>78</v>
      </c>
      <c r="B60" s="2" t="s">
        <v>26</v>
      </c>
      <c r="C60" s="9">
        <v>0</v>
      </c>
      <c r="D60" s="9">
        <v>0</v>
      </c>
      <c r="E60" s="9">
        <v>0</v>
      </c>
      <c r="F60" s="9">
        <v>0</v>
      </c>
      <c r="G60" s="9">
        <v>15579.101000000001</v>
      </c>
      <c r="H60" s="9">
        <v>20280.534</v>
      </c>
      <c r="I60" s="9">
        <v>25058.659</v>
      </c>
      <c r="J60" s="9">
        <v>32224.609</v>
      </c>
      <c r="K60" s="9">
        <v>37863.462</v>
      </c>
      <c r="L60" s="9">
        <v>54668.3</v>
      </c>
      <c r="M60" s="9">
        <v>64470.5</v>
      </c>
    </row>
    <row r="61" spans="1:13" ht="18" customHeight="1">
      <c r="A61" s="2" t="s">
        <v>79</v>
      </c>
      <c r="B61" s="2" t="s">
        <v>26</v>
      </c>
      <c r="C61" s="9">
        <v>2472.2469999999998</v>
      </c>
      <c r="D61" s="9">
        <v>2268.5340000000001</v>
      </c>
      <c r="E61" s="9">
        <v>2995.9079999999999</v>
      </c>
      <c r="F61" s="9">
        <v>3387.8939999999998</v>
      </c>
      <c r="G61" s="9">
        <v>3038.886</v>
      </c>
      <c r="H61" s="9">
        <v>2604.9290000000001</v>
      </c>
      <c r="I61" s="9">
        <v>3309.3</v>
      </c>
      <c r="J61" s="9">
        <v>7881.11</v>
      </c>
      <c r="K61" s="9">
        <v>9234.2669999999998</v>
      </c>
      <c r="L61" s="9">
        <v>15119.2</v>
      </c>
      <c r="M61" s="9">
        <v>22911.1</v>
      </c>
    </row>
    <row r="62" spans="1:13" ht="18" customHeight="1">
      <c r="A62" s="2" t="s">
        <v>80</v>
      </c>
      <c r="B62" s="2" t="s">
        <v>26</v>
      </c>
      <c r="C62" s="9">
        <v>81.063999999999993</v>
      </c>
      <c r="D62" s="9">
        <v>122.39400000000001</v>
      </c>
      <c r="E62" s="9">
        <v>196.893</v>
      </c>
      <c r="F62" s="9">
        <v>275.82</v>
      </c>
      <c r="G62" s="9">
        <v>563.49800000000005</v>
      </c>
      <c r="H62" s="9">
        <v>552.29399999999998</v>
      </c>
      <c r="I62" s="9">
        <v>589.68799999999999</v>
      </c>
      <c r="J62" s="9">
        <v>1336.454</v>
      </c>
      <c r="K62" s="9">
        <v>2230.1120000000001</v>
      </c>
      <c r="L62" s="9">
        <v>2407.9</v>
      </c>
      <c r="M62" s="9">
        <v>3310</v>
      </c>
    </row>
    <row r="63" spans="1:13" ht="18" customHeight="1">
      <c r="A63" s="2" t="s">
        <v>81</v>
      </c>
      <c r="B63" s="2" t="s">
        <v>26</v>
      </c>
      <c r="C63" s="9">
        <v>517.97199999999998</v>
      </c>
      <c r="D63" s="9">
        <v>161.80599999999998</v>
      </c>
      <c r="E63" s="9">
        <v>369.52499999999998</v>
      </c>
      <c r="F63" s="9">
        <v>64.415999999999997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</row>
    <row r="64" spans="1:13" ht="18" customHeight="1">
      <c r="A64" s="2" t="s">
        <v>82</v>
      </c>
      <c r="B64" s="2" t="s">
        <v>26</v>
      </c>
      <c r="C64" s="9">
        <v>1177.816</v>
      </c>
      <c r="D64" s="9">
        <v>1689.99</v>
      </c>
      <c r="E64" s="9">
        <v>2057.819</v>
      </c>
      <c r="F64" s="9">
        <v>4114.3590000000004</v>
      </c>
      <c r="G64" s="9">
        <v>220.631</v>
      </c>
      <c r="H64" s="9">
        <v>173.02699999999999</v>
      </c>
      <c r="I64" s="9">
        <v>125.423</v>
      </c>
      <c r="J64" s="9">
        <v>77.819000000000003</v>
      </c>
      <c r="K64" s="9">
        <v>30.22</v>
      </c>
      <c r="L64" s="9">
        <v>4.8</v>
      </c>
      <c r="M64" s="9">
        <v>0</v>
      </c>
    </row>
    <row r="65" spans="1:13" ht="18" customHeight="1">
      <c r="A65" s="2" t="s">
        <v>83</v>
      </c>
      <c r="B65" s="2" t="s">
        <v>26</v>
      </c>
      <c r="C65" s="9">
        <v>0</v>
      </c>
      <c r="D65" s="9">
        <v>7.5</v>
      </c>
      <c r="E65" s="9">
        <v>67.393000000000001</v>
      </c>
      <c r="F65" s="9">
        <v>34.518000000000001</v>
      </c>
      <c r="G65" s="9">
        <v>36.976999999999997</v>
      </c>
      <c r="H65" s="9">
        <v>24.19</v>
      </c>
      <c r="I65" s="9">
        <v>34.279000000000003</v>
      </c>
      <c r="J65" s="9">
        <v>45.197000000000003</v>
      </c>
      <c r="K65" s="9">
        <v>71.706000000000003</v>
      </c>
      <c r="L65" s="9">
        <v>57.3</v>
      </c>
      <c r="M65" s="9">
        <v>52.1</v>
      </c>
    </row>
    <row r="66" spans="1:13" ht="18" customHeight="1">
      <c r="A66" s="1" t="s">
        <v>84</v>
      </c>
      <c r="B66" s="1" t="s">
        <v>26</v>
      </c>
      <c r="C66" s="57">
        <f t="shared" ref="C66:M66" si="6">SUM(C59:C65)</f>
        <v>7198.96</v>
      </c>
      <c r="D66" s="57">
        <f t="shared" si="6"/>
        <v>6645.9319999999998</v>
      </c>
      <c r="E66" s="57">
        <f t="shared" si="6"/>
        <v>7928.9079999999994</v>
      </c>
      <c r="F66" s="57">
        <f t="shared" si="6"/>
        <v>10070.675999999999</v>
      </c>
      <c r="G66" s="57">
        <f t="shared" si="6"/>
        <v>19785.68</v>
      </c>
      <c r="H66" s="57">
        <f t="shared" si="6"/>
        <v>24016.601999999999</v>
      </c>
      <c r="I66" s="57">
        <f t="shared" si="6"/>
        <v>29533.519999999993</v>
      </c>
      <c r="J66" s="57">
        <f t="shared" si="6"/>
        <v>41565.188999999998</v>
      </c>
      <c r="K66" s="57">
        <f t="shared" si="6"/>
        <v>49429.767</v>
      </c>
      <c r="L66" s="57">
        <f t="shared" si="6"/>
        <v>72257.5</v>
      </c>
      <c r="M66" s="57">
        <f t="shared" si="6"/>
        <v>90743.700000000012</v>
      </c>
    </row>
    <row r="67" spans="1:13" ht="18" customHeight="1">
      <c r="A67" s="1" t="s">
        <v>85</v>
      </c>
      <c r="B67" s="1" t="s">
        <v>26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2123.9949999999999</v>
      </c>
      <c r="I67" s="10">
        <v>3480.5650000000001</v>
      </c>
      <c r="J67" s="10">
        <v>2252.337</v>
      </c>
      <c r="K67" s="10">
        <v>1891.7070000000001</v>
      </c>
      <c r="L67" s="10">
        <v>1800</v>
      </c>
      <c r="M67" s="10">
        <v>1806.3</v>
      </c>
    </row>
    <row r="68" spans="1:13" ht="18" customHeight="1">
      <c r="A68" s="2" t="s">
        <v>86</v>
      </c>
      <c r="B68" s="2" t="s">
        <v>26</v>
      </c>
      <c r="C68" s="9">
        <v>0</v>
      </c>
      <c r="D68" s="9">
        <v>0</v>
      </c>
      <c r="E68" s="9">
        <v>0</v>
      </c>
      <c r="F68" s="9">
        <v>0</v>
      </c>
      <c r="G68" s="9">
        <v>6454.4269999999997</v>
      </c>
      <c r="H68" s="9">
        <v>7073.4970000000003</v>
      </c>
      <c r="I68" s="9">
        <v>7922.442</v>
      </c>
      <c r="J68" s="9">
        <v>10377.267</v>
      </c>
      <c r="K68" s="9">
        <v>11524.851000000001</v>
      </c>
      <c r="L68" s="9">
        <v>10341.5</v>
      </c>
      <c r="M68" s="9">
        <v>11472.4</v>
      </c>
    </row>
    <row r="69" spans="1:13" ht="18" customHeight="1">
      <c r="A69" s="2" t="s">
        <v>87</v>
      </c>
      <c r="B69" s="2" t="s">
        <v>26</v>
      </c>
      <c r="C69" s="9">
        <v>1.589</v>
      </c>
      <c r="D69" s="9">
        <v>0</v>
      </c>
      <c r="E69" s="9">
        <v>0</v>
      </c>
      <c r="F69" s="9">
        <v>4.79</v>
      </c>
      <c r="G69" s="9">
        <v>6.1150000000000002</v>
      </c>
      <c r="H69" s="9">
        <v>28.097999999999999</v>
      </c>
      <c r="I69" s="9">
        <v>9.74</v>
      </c>
      <c r="J69" s="9">
        <v>19.960999999999999</v>
      </c>
      <c r="K69" s="9">
        <v>26.658999999999999</v>
      </c>
      <c r="L69" s="9">
        <v>33.1</v>
      </c>
      <c r="M69" s="9">
        <v>60.7</v>
      </c>
    </row>
    <row r="70" spans="1:13" ht="18" customHeight="1">
      <c r="A70" s="2" t="s">
        <v>88</v>
      </c>
      <c r="B70" s="2" t="s">
        <v>26</v>
      </c>
      <c r="C70" s="9">
        <v>739.63900000000001</v>
      </c>
      <c r="D70" s="9">
        <v>774.61</v>
      </c>
      <c r="E70" s="9">
        <v>1000.201</v>
      </c>
      <c r="F70" s="9">
        <v>1448.018</v>
      </c>
      <c r="G70" s="9">
        <v>1561.4670000000001</v>
      </c>
      <c r="H70" s="9">
        <v>1523.231</v>
      </c>
      <c r="I70" s="9">
        <v>3142.08</v>
      </c>
      <c r="J70" s="9">
        <v>3189.0279999999998</v>
      </c>
      <c r="K70" s="9">
        <v>3130.9560000000001</v>
      </c>
      <c r="L70" s="9">
        <v>4142.5</v>
      </c>
      <c r="M70" s="9">
        <v>4929.8</v>
      </c>
    </row>
    <row r="71" spans="1:13" ht="18" customHeight="1">
      <c r="A71" s="2" t="s">
        <v>89</v>
      </c>
      <c r="B71" s="2" t="s">
        <v>26</v>
      </c>
      <c r="C71" s="9">
        <v>0</v>
      </c>
      <c r="D71" s="9">
        <v>1432.2670000000001</v>
      </c>
      <c r="E71" s="9">
        <v>1547.2829999999999</v>
      </c>
      <c r="F71" s="9">
        <v>2123.0479999999998</v>
      </c>
      <c r="G71" s="9">
        <v>4589.7389999999996</v>
      </c>
      <c r="H71" s="9">
        <v>4723.46</v>
      </c>
      <c r="I71" s="9">
        <v>3692.8589999999999</v>
      </c>
      <c r="J71" s="9">
        <v>2590.1590000000001</v>
      </c>
      <c r="K71" s="9">
        <v>7050.9920000000002</v>
      </c>
      <c r="L71" s="9">
        <v>7752.3</v>
      </c>
      <c r="M71" s="9">
        <v>8606</v>
      </c>
    </row>
    <row r="72" spans="1:13" ht="18" customHeight="1">
      <c r="A72" s="2" t="s">
        <v>90</v>
      </c>
      <c r="B72" s="2" t="s">
        <v>26</v>
      </c>
      <c r="C72" s="9">
        <v>688.31799999999998</v>
      </c>
      <c r="D72" s="9">
        <v>66.706000000000003</v>
      </c>
      <c r="E72" s="9">
        <v>103.246</v>
      </c>
      <c r="F72" s="9">
        <v>163.83199999999999</v>
      </c>
      <c r="G72" s="9">
        <v>1396.2539999999999</v>
      </c>
      <c r="H72" s="9">
        <v>1608.3579999999999</v>
      </c>
      <c r="I72" s="9">
        <v>760.27599999999995</v>
      </c>
      <c r="J72" s="9">
        <v>289.64999999999998</v>
      </c>
      <c r="K72" s="9">
        <v>588.97199999999998</v>
      </c>
      <c r="L72" s="9">
        <v>1746.8</v>
      </c>
      <c r="M72" s="9">
        <v>2621</v>
      </c>
    </row>
    <row r="73" spans="1:13" ht="18" customHeight="1">
      <c r="A73" s="2" t="s">
        <v>91</v>
      </c>
      <c r="B73" s="2" t="s">
        <v>26</v>
      </c>
      <c r="C73" s="9">
        <v>0</v>
      </c>
      <c r="D73" s="9">
        <v>44.677</v>
      </c>
      <c r="E73" s="9">
        <v>12.750999999999999</v>
      </c>
      <c r="F73" s="9">
        <v>3.351</v>
      </c>
      <c r="G73" s="9">
        <v>3.0760000000000001</v>
      </c>
      <c r="H73" s="9">
        <v>3.0760000000000001</v>
      </c>
      <c r="I73" s="9">
        <v>3.0760000000000001</v>
      </c>
      <c r="J73" s="9">
        <v>3.0760000000000001</v>
      </c>
      <c r="K73" s="9">
        <v>3.0760000000000001</v>
      </c>
      <c r="L73" s="9">
        <v>3.1</v>
      </c>
      <c r="M73" s="9">
        <v>4.3</v>
      </c>
    </row>
    <row r="74" spans="1:13" ht="18" customHeight="1">
      <c r="A74" s="2" t="s">
        <v>92</v>
      </c>
      <c r="B74" s="2" t="s">
        <v>26</v>
      </c>
      <c r="C74" s="9">
        <v>405.40699999999998</v>
      </c>
      <c r="D74" s="9">
        <v>493.78300000000002</v>
      </c>
      <c r="E74" s="9">
        <v>543.88</v>
      </c>
      <c r="F74" s="9">
        <v>1073.915</v>
      </c>
      <c r="G74" s="9">
        <v>47.604999999999997</v>
      </c>
      <c r="H74" s="9">
        <v>47.603000000000002</v>
      </c>
      <c r="I74" s="9">
        <v>47.603999999999999</v>
      </c>
      <c r="J74" s="9">
        <v>47.603999999999999</v>
      </c>
      <c r="K74" s="9">
        <v>47.598999999999997</v>
      </c>
      <c r="L74" s="9">
        <v>25.8</v>
      </c>
      <c r="M74" s="9">
        <v>0</v>
      </c>
    </row>
    <row r="75" spans="1:13" ht="18" customHeight="1">
      <c r="A75" s="2" t="s">
        <v>93</v>
      </c>
      <c r="B75" s="2" t="s">
        <v>26</v>
      </c>
      <c r="C75" s="9">
        <v>2150.9209999999998</v>
      </c>
      <c r="D75" s="9">
        <v>1972.585</v>
      </c>
      <c r="E75" s="9">
        <v>2915.672</v>
      </c>
      <c r="F75" s="9">
        <v>3193.402</v>
      </c>
      <c r="G75" s="9">
        <v>2378.7750000000001</v>
      </c>
      <c r="H75" s="9">
        <v>1792.374</v>
      </c>
      <c r="I75" s="9">
        <v>3358.498</v>
      </c>
      <c r="J75" s="9">
        <v>5082.0640000000003</v>
      </c>
      <c r="K75" s="9">
        <v>6533.5060000000003</v>
      </c>
      <c r="L75" s="9">
        <v>8372.7000000000007</v>
      </c>
      <c r="M75" s="9">
        <v>8770.5</v>
      </c>
    </row>
    <row r="76" spans="1:13" ht="18" customHeight="1">
      <c r="A76" s="1" t="s">
        <v>94</v>
      </c>
      <c r="B76" s="1" t="s">
        <v>26</v>
      </c>
      <c r="C76" s="57">
        <f t="shared" ref="C76:M76" si="7">SUM(C67:C75)</f>
        <v>3985.8739999999998</v>
      </c>
      <c r="D76" s="57">
        <f t="shared" si="7"/>
        <v>4784.6280000000006</v>
      </c>
      <c r="E76" s="57">
        <f t="shared" si="7"/>
        <v>6123.0330000000004</v>
      </c>
      <c r="F76" s="57">
        <f t="shared" si="7"/>
        <v>8010.3559999999998</v>
      </c>
      <c r="G76" s="57">
        <f t="shared" si="7"/>
        <v>16437.457999999999</v>
      </c>
      <c r="H76" s="57">
        <f t="shared" si="7"/>
        <v>18923.691999999999</v>
      </c>
      <c r="I76" s="57">
        <f t="shared" si="7"/>
        <v>22417.14</v>
      </c>
      <c r="J76" s="57">
        <f t="shared" si="7"/>
        <v>23851.146000000001</v>
      </c>
      <c r="K76" s="57">
        <f t="shared" si="7"/>
        <v>30798.318000000003</v>
      </c>
      <c r="L76" s="57">
        <f t="shared" si="7"/>
        <v>34217.800000000003</v>
      </c>
      <c r="M76" s="57">
        <f t="shared" si="7"/>
        <v>38271</v>
      </c>
    </row>
    <row r="77" spans="1:13" ht="18" customHeight="1">
      <c r="A77" s="1" t="s">
        <v>95</v>
      </c>
      <c r="B77" s="1" t="s">
        <v>26</v>
      </c>
      <c r="C77" s="57">
        <f t="shared" ref="C77:M77" si="8">C58+C66+C76</f>
        <v>13019.111000000001</v>
      </c>
      <c r="D77" s="57">
        <f t="shared" si="8"/>
        <v>15209.736000000001</v>
      </c>
      <c r="E77" s="57">
        <f t="shared" si="8"/>
        <v>21129.295999999998</v>
      </c>
      <c r="F77" s="57">
        <f t="shared" si="8"/>
        <v>25026.842000000001</v>
      </c>
      <c r="G77" s="57">
        <f t="shared" si="8"/>
        <v>42101.078000000001</v>
      </c>
      <c r="H77" s="57">
        <f t="shared" si="8"/>
        <v>43051.152999999998</v>
      </c>
      <c r="I77" s="57">
        <f t="shared" si="8"/>
        <v>45962.597999999991</v>
      </c>
      <c r="J77" s="57">
        <f t="shared" si="8"/>
        <v>59169.818999999996</v>
      </c>
      <c r="K77" s="57">
        <f t="shared" si="8"/>
        <v>82224.517000000007</v>
      </c>
      <c r="L77" s="57">
        <f t="shared" si="8"/>
        <v>115843.5</v>
      </c>
      <c r="M77" s="57">
        <f t="shared" si="8"/>
        <v>136002.1</v>
      </c>
    </row>
    <row r="78" spans="1:13" ht="18" customHeight="1">
      <c r="A78" s="1"/>
      <c r="B78" s="1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</row>
    <row r="79" spans="1:13" ht="18" customHeight="1">
      <c r="A79" s="5" t="s">
        <v>96</v>
      </c>
      <c r="B79" s="5" t="s">
        <v>26</v>
      </c>
      <c r="C79" s="58">
        <f t="shared" ref="C79:M79" si="9">C55-C77</f>
        <v>0</v>
      </c>
      <c r="D79" s="58">
        <f t="shared" si="9"/>
        <v>0</v>
      </c>
      <c r="E79" s="58">
        <f t="shared" si="9"/>
        <v>0</v>
      </c>
      <c r="F79" s="58">
        <f t="shared" si="9"/>
        <v>0</v>
      </c>
      <c r="G79" s="58">
        <f t="shared" si="9"/>
        <v>0</v>
      </c>
      <c r="H79" s="58">
        <f t="shared" si="9"/>
        <v>0</v>
      </c>
      <c r="I79" s="58">
        <f t="shared" si="9"/>
        <v>0</v>
      </c>
      <c r="J79" s="58">
        <f t="shared" si="9"/>
        <v>0</v>
      </c>
      <c r="K79" s="58">
        <f t="shared" si="9"/>
        <v>0</v>
      </c>
      <c r="L79" s="58">
        <f t="shared" si="9"/>
        <v>0</v>
      </c>
      <c r="M79" s="58">
        <f t="shared" si="9"/>
        <v>0</v>
      </c>
    </row>
    <row r="80" spans="1:13" ht="18" customHeight="1">
      <c r="A80" s="2"/>
      <c r="B80" s="2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</row>
    <row r="81" spans="1:13" ht="18" customHeight="1">
      <c r="A81" s="141" t="s">
        <v>97</v>
      </c>
      <c r="B81" s="141"/>
      <c r="C81" s="144"/>
      <c r="D81" s="144"/>
      <c r="E81" s="144"/>
      <c r="F81" s="144"/>
      <c r="G81" s="144"/>
      <c r="H81" s="144"/>
      <c r="I81" s="144"/>
      <c r="J81" s="144"/>
      <c r="K81" s="144"/>
      <c r="L81" s="144"/>
      <c r="M81" s="144"/>
    </row>
    <row r="82" spans="1:13" ht="18" customHeight="1">
      <c r="A82" s="2" t="s">
        <v>42</v>
      </c>
      <c r="B82" s="2" t="s">
        <v>26</v>
      </c>
      <c r="C82" s="9">
        <v>2828.95</v>
      </c>
      <c r="D82" s="9">
        <v>2144.299</v>
      </c>
      <c r="E82" s="9">
        <v>3126.627</v>
      </c>
      <c r="F82" s="9"/>
      <c r="G82" s="9">
        <v>-255.66900000000001</v>
      </c>
      <c r="H82" s="9">
        <v>-5818.07</v>
      </c>
      <c r="I82" s="9">
        <v>-6153.6839999999993</v>
      </c>
      <c r="J82" s="9">
        <v>-304.38499999999999</v>
      </c>
      <c r="K82" s="9">
        <v>8049.3089999999993</v>
      </c>
      <c r="L82" s="9">
        <v>7593.4</v>
      </c>
      <c r="M82" s="9">
        <v>-1960.5</v>
      </c>
    </row>
    <row r="83" spans="1:13" ht="18" customHeight="1">
      <c r="A83" s="2" t="s">
        <v>38</v>
      </c>
      <c r="B83" s="2" t="s">
        <v>26</v>
      </c>
      <c r="C83" s="9">
        <v>503.07900000000001</v>
      </c>
      <c r="D83" s="9">
        <v>457.25299999999999</v>
      </c>
      <c r="E83" s="9">
        <v>436.87700000000007</v>
      </c>
      <c r="F83" s="9">
        <v>759.58</v>
      </c>
      <c r="G83" s="9">
        <v>3973.9290000000001</v>
      </c>
      <c r="H83" s="9">
        <v>4699.4459999999999</v>
      </c>
      <c r="I83" s="9">
        <v>5068.6000000000004</v>
      </c>
      <c r="J83" s="9">
        <v>5102.9690000000001</v>
      </c>
      <c r="K83" s="9">
        <v>6425.7290000000003</v>
      </c>
      <c r="L83" s="9">
        <v>8680.2000000000007</v>
      </c>
      <c r="M83" s="9">
        <v>10808.2</v>
      </c>
    </row>
    <row r="84" spans="1:13" ht="18" customHeight="1">
      <c r="A84" s="2" t="s">
        <v>39</v>
      </c>
      <c r="B84" s="2" t="s">
        <v>26</v>
      </c>
      <c r="C84" s="9">
        <v>134.85300000000001</v>
      </c>
      <c r="D84" s="9">
        <v>330.78000000000003</v>
      </c>
      <c r="E84" s="9">
        <v>339.815</v>
      </c>
      <c r="F84" s="9">
        <v>508.96300000000002</v>
      </c>
      <c r="G84" s="9">
        <v>1875.8710000000001</v>
      </c>
      <c r="H84" s="9">
        <v>2141.9830000000002</v>
      </c>
      <c r="I84" s="9">
        <v>2358.0150000000003</v>
      </c>
      <c r="J84" s="9">
        <v>3131.7310000000002</v>
      </c>
      <c r="K84" s="9">
        <v>4169.3540000000003</v>
      </c>
      <c r="L84" s="9">
        <v>5080</v>
      </c>
      <c r="M84" s="9">
        <v>5890.8</v>
      </c>
    </row>
    <row r="85" spans="1:13" ht="18" customHeight="1">
      <c r="A85" s="2" t="s">
        <v>98</v>
      </c>
      <c r="B85" s="2" t="s">
        <v>26</v>
      </c>
      <c r="C85" s="9">
        <v>-368.74099999999999</v>
      </c>
      <c r="D85" s="9">
        <v>-391.327</v>
      </c>
      <c r="E85" s="9">
        <v>-400.80500000000001</v>
      </c>
      <c r="F85" s="9">
        <v>-434.41099999999994</v>
      </c>
      <c r="G85" s="9">
        <v>-257.16999999999996</v>
      </c>
      <c r="H85" s="9">
        <v>-126.928</v>
      </c>
      <c r="I85" s="9">
        <v>-67.525000000000006</v>
      </c>
      <c r="J85" s="9">
        <v>-269.75599999999997</v>
      </c>
      <c r="K85" s="9">
        <v>-846.45499999999993</v>
      </c>
      <c r="L85" s="9">
        <v>-1121.8</v>
      </c>
      <c r="M85" s="9">
        <v>-1306.5999999999999</v>
      </c>
    </row>
    <row r="86" spans="1:13" ht="18" customHeight="1">
      <c r="A86" s="2" t="s">
        <v>99</v>
      </c>
      <c r="B86" s="2" t="s">
        <v>26</v>
      </c>
      <c r="C86" s="9">
        <v>205.79300000000001</v>
      </c>
      <c r="D86" s="9">
        <v>-86.179999999999993</v>
      </c>
      <c r="E86" s="9">
        <v>9.9760000000000009</v>
      </c>
      <c r="F86" s="9">
        <v>354.60599999999999</v>
      </c>
      <c r="G86" s="9">
        <v>1312.2270000000001</v>
      </c>
      <c r="H86" s="9">
        <v>-466.47500000000002</v>
      </c>
      <c r="I86" s="9">
        <v>788.601</v>
      </c>
      <c r="J86" s="9">
        <v>3003.5369999999998</v>
      </c>
      <c r="K86" s="9">
        <v>826.15100000000007</v>
      </c>
      <c r="L86" s="9">
        <v>1708.3</v>
      </c>
      <c r="M86" s="9">
        <v>9318.6</v>
      </c>
    </row>
    <row r="87" spans="1:13" ht="18" customHeight="1">
      <c r="A87" s="1" t="s">
        <v>100</v>
      </c>
      <c r="B87" s="1" t="s">
        <v>26</v>
      </c>
      <c r="C87" s="10">
        <v>3325.5019999999995</v>
      </c>
      <c r="D87" s="10">
        <v>2092.6469999999999</v>
      </c>
      <c r="E87" s="10">
        <v>3130.9090000000001</v>
      </c>
      <c r="F87" s="10">
        <v>377.84800000000001</v>
      </c>
      <c r="G87" s="10">
        <v>5676.5969999999998</v>
      </c>
      <c r="H87" s="10"/>
      <c r="I87" s="10"/>
      <c r="J87" s="10">
        <v>9984.5640000000003</v>
      </c>
      <c r="K87" s="10">
        <v>17378.749</v>
      </c>
      <c r="L87" s="10">
        <v>20066.099999999999</v>
      </c>
      <c r="M87" s="10">
        <v>21679.4</v>
      </c>
    </row>
    <row r="88" spans="1:13" ht="18" customHeight="1">
      <c r="A88" s="2" t="s">
        <v>101</v>
      </c>
      <c r="B88" s="2" t="s">
        <v>26</v>
      </c>
      <c r="C88" s="6">
        <f t="shared" ref="C88:M88" si="10">C89-C87</f>
        <v>349.68900000000031</v>
      </c>
      <c r="D88" s="6">
        <f t="shared" si="10"/>
        <v>2113.5190000000002</v>
      </c>
      <c r="E88" s="6">
        <f t="shared" si="10"/>
        <v>1509.6969999999997</v>
      </c>
      <c r="F88" s="6">
        <f t="shared" si="10"/>
        <v>2894.027</v>
      </c>
      <c r="G88" s="6">
        <f t="shared" si="10"/>
        <v>1610.2110000000002</v>
      </c>
      <c r="H88" s="6">
        <f t="shared" si="10"/>
        <v>0</v>
      </c>
      <c r="I88" s="6">
        <f t="shared" si="10"/>
        <v>0</v>
      </c>
      <c r="J88" s="6">
        <f t="shared" si="10"/>
        <v>3132.6440000000002</v>
      </c>
      <c r="K88" s="6">
        <f t="shared" si="10"/>
        <v>4350.2220000000016</v>
      </c>
      <c r="L88" s="6">
        <f t="shared" si="10"/>
        <v>4517.7000000000007</v>
      </c>
      <c r="M88" s="6">
        <f t="shared" si="10"/>
        <v>2047.2999999999993</v>
      </c>
    </row>
    <row r="89" spans="1:13" ht="18" customHeight="1">
      <c r="A89" s="1" t="s">
        <v>102</v>
      </c>
      <c r="B89" s="1" t="s">
        <v>26</v>
      </c>
      <c r="C89" s="10">
        <v>3675.1909999999998</v>
      </c>
      <c r="D89" s="10">
        <v>4206.1660000000002</v>
      </c>
      <c r="E89" s="10">
        <v>4640.6059999999998</v>
      </c>
      <c r="F89" s="10">
        <v>3271.875</v>
      </c>
      <c r="G89" s="10">
        <v>7286.808</v>
      </c>
      <c r="H89" s="10"/>
      <c r="I89" s="10"/>
      <c r="J89" s="10">
        <v>13117.208000000001</v>
      </c>
      <c r="K89" s="10">
        <v>21728.971000000001</v>
      </c>
      <c r="L89" s="10">
        <v>24583.8</v>
      </c>
      <c r="M89" s="10">
        <v>23726.7</v>
      </c>
    </row>
    <row r="90" spans="1:13" ht="18" customHeight="1">
      <c r="A90" s="1" t="s">
        <v>103</v>
      </c>
      <c r="B90" s="1" t="s">
        <v>26</v>
      </c>
      <c r="C90" s="10">
        <v>-576.11599999999999</v>
      </c>
      <c r="D90" s="10">
        <v>-424.096</v>
      </c>
      <c r="E90" s="10">
        <v>-737.52200000000005</v>
      </c>
      <c r="F90" s="10">
        <v>-96.334000000000003</v>
      </c>
      <c r="G90" s="10">
        <v>-315.02600000000001</v>
      </c>
      <c r="H90" s="10">
        <v>-76.414000000000001</v>
      </c>
      <c r="I90" s="10">
        <v>-198.381</v>
      </c>
      <c r="J90" s="10">
        <v>-389.26900000000001</v>
      </c>
      <c r="K90" s="10">
        <v>-511.39600000000002</v>
      </c>
      <c r="L90" s="10">
        <v>-432.5</v>
      </c>
      <c r="M90" s="10">
        <v>-256.8</v>
      </c>
    </row>
    <row r="91" spans="1:13" ht="18" customHeight="1">
      <c r="A91" s="1" t="s">
        <v>104</v>
      </c>
      <c r="B91" s="1" t="s">
        <v>26</v>
      </c>
      <c r="C91" s="10">
        <v>3099.0749999999998</v>
      </c>
      <c r="D91" s="10">
        <v>3782.07</v>
      </c>
      <c r="E91" s="10">
        <v>3903.0839999999998</v>
      </c>
      <c r="F91" s="10">
        <v>3175.5410000000002</v>
      </c>
      <c r="G91" s="10">
        <v>6971.7820000000011</v>
      </c>
      <c r="H91" s="10">
        <v>-1614.154</v>
      </c>
      <c r="I91" s="10">
        <v>2090.578</v>
      </c>
      <c r="J91" s="10">
        <v>12727.939</v>
      </c>
      <c r="K91" s="10">
        <v>21217.575000000001</v>
      </c>
      <c r="L91" s="10">
        <v>24151.3</v>
      </c>
      <c r="M91" s="10">
        <v>23469.9</v>
      </c>
    </row>
    <row r="92" spans="1:13" ht="18" customHeight="1">
      <c r="A92" s="1" t="s">
        <v>105</v>
      </c>
      <c r="B92" s="1" t="s">
        <v>26</v>
      </c>
      <c r="C92" s="10">
        <v>-231.99</v>
      </c>
      <c r="D92" s="10">
        <v>-237.238</v>
      </c>
      <c r="E92" s="10">
        <v>-1220.2149999999999</v>
      </c>
      <c r="F92" s="10">
        <v>-1711.5619999999999</v>
      </c>
      <c r="G92" s="10">
        <v>-1088.306</v>
      </c>
      <c r="H92" s="10">
        <v>-436.887</v>
      </c>
      <c r="I92" s="10">
        <v>-346.88099999999997</v>
      </c>
      <c r="J92" s="10">
        <v>-569.80399999999997</v>
      </c>
      <c r="K92" s="10">
        <v>-1102.645</v>
      </c>
      <c r="L92" s="10">
        <v>-1604.8</v>
      </c>
      <c r="M92" s="10">
        <v>-2271.8000000000002</v>
      </c>
    </row>
    <row r="93" spans="1:13" ht="18" customHeight="1">
      <c r="A93" s="1" t="s">
        <v>106</v>
      </c>
      <c r="B93" s="1" t="s">
        <v>26</v>
      </c>
      <c r="C93" s="7">
        <f t="shared" ref="C93:M93" si="11">C91+C92</f>
        <v>2867.085</v>
      </c>
      <c r="D93" s="7">
        <f t="shared" si="11"/>
        <v>3544.8320000000003</v>
      </c>
      <c r="E93" s="7">
        <f t="shared" si="11"/>
        <v>2682.8689999999997</v>
      </c>
      <c r="F93" s="7">
        <f t="shared" si="11"/>
        <v>1463.9790000000003</v>
      </c>
      <c r="G93" s="7">
        <f t="shared" si="11"/>
        <v>5883.4760000000006</v>
      </c>
      <c r="H93" s="7">
        <f t="shared" si="11"/>
        <v>-2051.0410000000002</v>
      </c>
      <c r="I93" s="7">
        <f t="shared" si="11"/>
        <v>1743.6970000000001</v>
      </c>
      <c r="J93" s="7">
        <f t="shared" si="11"/>
        <v>12158.135</v>
      </c>
      <c r="K93" s="7">
        <f t="shared" si="11"/>
        <v>20114.93</v>
      </c>
      <c r="L93" s="7">
        <f t="shared" si="11"/>
        <v>22546.5</v>
      </c>
      <c r="M93" s="7">
        <f t="shared" si="11"/>
        <v>21198.100000000002</v>
      </c>
    </row>
    <row r="94" spans="1:13" ht="18" customHeight="1">
      <c r="A94" s="1" t="s">
        <v>107</v>
      </c>
      <c r="B94" s="1" t="s">
        <v>26</v>
      </c>
      <c r="C94" s="10">
        <v>0.16200000000000001</v>
      </c>
      <c r="D94" s="10">
        <v>613.23</v>
      </c>
      <c r="E94" s="10">
        <v>0.24299999999999999</v>
      </c>
      <c r="F94" s="10">
        <v>5.407</v>
      </c>
      <c r="G94" s="10">
        <v>26.738</v>
      </c>
      <c r="H94" s="10">
        <v>16.469000000000001</v>
      </c>
      <c r="I94" s="10">
        <v>6.6650000000000009</v>
      </c>
      <c r="J94" s="10">
        <v>4.3899999999999997</v>
      </c>
      <c r="K94" s="10">
        <v>5.1020000000000003</v>
      </c>
      <c r="L94" s="10">
        <v>11.9</v>
      </c>
      <c r="M94" s="10">
        <v>7.1</v>
      </c>
    </row>
    <row r="95" spans="1:13" ht="18" customHeight="1">
      <c r="A95" s="1" t="s">
        <v>108</v>
      </c>
      <c r="B95" s="1" t="s">
        <v>26</v>
      </c>
      <c r="C95" s="10">
        <v>328.58000000000004</v>
      </c>
      <c r="D95" s="10">
        <v>346.024</v>
      </c>
      <c r="E95" s="10">
        <v>531.04499999999996</v>
      </c>
      <c r="F95" s="10">
        <v>500.87599999999998</v>
      </c>
      <c r="G95" s="10">
        <v>369.29700000000003</v>
      </c>
      <c r="H95" s="10">
        <v>136.69200000000001</v>
      </c>
      <c r="I95" s="10">
        <v>91.55</v>
      </c>
      <c r="J95" s="10">
        <v>156.83099999999999</v>
      </c>
      <c r="K95" s="10">
        <v>575.83900000000006</v>
      </c>
      <c r="L95" s="10">
        <v>1132</v>
      </c>
      <c r="M95" s="10">
        <v>1352.6</v>
      </c>
    </row>
    <row r="96" spans="1:13" ht="18" customHeight="1">
      <c r="A96" s="1" t="s">
        <v>109</v>
      </c>
      <c r="B96" s="1" t="s">
        <v>26</v>
      </c>
      <c r="C96" s="7">
        <f t="shared" ref="C96:M96" si="12">C97-C92-C94-C95</f>
        <v>-1422.9459999999999</v>
      </c>
      <c r="D96" s="7">
        <f t="shared" si="12"/>
        <v>-3759.873</v>
      </c>
      <c r="E96" s="7">
        <f t="shared" si="12"/>
        <v>-3470.6060000000002</v>
      </c>
      <c r="F96" s="7">
        <f t="shared" si="12"/>
        <v>-1330.7719999999999</v>
      </c>
      <c r="G96" s="7">
        <f t="shared" si="12"/>
        <v>-3875.7270000000003</v>
      </c>
      <c r="H96" s="7">
        <f t="shared" si="12"/>
        <v>3480.7640000000001</v>
      </c>
      <c r="I96" s="7">
        <f t="shared" si="12"/>
        <v>1751.117</v>
      </c>
      <c r="J96" s="7">
        <f t="shared" si="12"/>
        <v>-3650.9049999999997</v>
      </c>
      <c r="K96" s="7">
        <f t="shared" si="12"/>
        <v>-11287.287</v>
      </c>
      <c r="L96" s="7">
        <f t="shared" si="12"/>
        <v>-12298.4</v>
      </c>
      <c r="M96" s="7">
        <f t="shared" si="12"/>
        <v>-1040.3999999999996</v>
      </c>
    </row>
    <row r="97" spans="1:13" ht="18" customHeight="1">
      <c r="A97" s="1" t="s">
        <v>110</v>
      </c>
      <c r="B97" s="1" t="s">
        <v>26</v>
      </c>
      <c r="C97" s="10">
        <v>-1326.194</v>
      </c>
      <c r="D97" s="10">
        <v>-3037.857</v>
      </c>
      <c r="E97" s="10">
        <v>-4159.5330000000004</v>
      </c>
      <c r="F97" s="10">
        <v>-2536.0509999999999</v>
      </c>
      <c r="G97" s="10">
        <v>-4567.9980000000005</v>
      </c>
      <c r="H97" s="10">
        <v>3197.038</v>
      </c>
      <c r="I97" s="10">
        <v>1502.451</v>
      </c>
      <c r="J97" s="10">
        <v>-4059.4879999999998</v>
      </c>
      <c r="K97" s="10">
        <v>-11808.991</v>
      </c>
      <c r="L97" s="10">
        <v>-12759.3</v>
      </c>
      <c r="M97" s="10">
        <v>-1952.5</v>
      </c>
    </row>
    <row r="98" spans="1:13" ht="18" customHeight="1">
      <c r="A98" s="2" t="s">
        <v>111</v>
      </c>
      <c r="B98" s="2" t="s">
        <v>26</v>
      </c>
      <c r="C98" s="9">
        <v>84.37</v>
      </c>
      <c r="D98" s="9">
        <v>67.661000000000001</v>
      </c>
      <c r="E98" s="9">
        <v>44.976999999999997</v>
      </c>
      <c r="F98" s="9">
        <v>48.353999999999999</v>
      </c>
      <c r="G98" s="9">
        <v>42.061</v>
      </c>
      <c r="H98" s="9">
        <v>4844.2039999999997</v>
      </c>
      <c r="I98" s="9">
        <v>15235.853999999999</v>
      </c>
      <c r="J98" s="9">
        <v>9833.2440000000006</v>
      </c>
      <c r="K98" s="9">
        <v>7201.4699999999993</v>
      </c>
      <c r="L98" s="9">
        <v>1800</v>
      </c>
      <c r="M98" s="9">
        <v>6.3</v>
      </c>
    </row>
    <row r="99" spans="1:13" ht="18" customHeight="1">
      <c r="A99" s="2" t="s">
        <v>112</v>
      </c>
      <c r="B99" s="2" t="s">
        <v>26</v>
      </c>
      <c r="C99" s="9">
        <v>-1108.49</v>
      </c>
      <c r="D99" s="9">
        <v>-752.63900000000001</v>
      </c>
      <c r="E99" s="9">
        <v>-232.881</v>
      </c>
      <c r="F99" s="9">
        <v>-256.19299999999998</v>
      </c>
      <c r="G99" s="9">
        <v>0</v>
      </c>
      <c r="H99" s="9">
        <v>-3009.991</v>
      </c>
      <c r="I99" s="9">
        <v>-13864.522000000001</v>
      </c>
      <c r="J99" s="9">
        <v>-11505.877</v>
      </c>
      <c r="K99" s="9">
        <v>-7483.4219999999996</v>
      </c>
      <c r="L99" s="9">
        <v>-1891.7</v>
      </c>
      <c r="M99" s="9">
        <v>0</v>
      </c>
    </row>
    <row r="100" spans="1:13" ht="18" customHeight="1">
      <c r="A100" s="2" t="s">
        <v>113</v>
      </c>
      <c r="B100" s="2" t="s">
        <v>26</v>
      </c>
      <c r="C100" s="9">
        <v>-70.157000000000011</v>
      </c>
      <c r="D100" s="9">
        <v>-47.879000000000005</v>
      </c>
      <c r="E100" s="9">
        <v>-53.340999999999994</v>
      </c>
      <c r="F100" s="9">
        <v>-77.009</v>
      </c>
      <c r="G100" s="9">
        <v>0</v>
      </c>
      <c r="H100" s="9">
        <v>0</v>
      </c>
      <c r="I100" s="9">
        <v>0</v>
      </c>
      <c r="J100" s="9">
        <v>0</v>
      </c>
      <c r="K100" s="9">
        <v>0</v>
      </c>
      <c r="L100" s="9">
        <v>0</v>
      </c>
      <c r="M100" s="9">
        <v>-16180.2</v>
      </c>
    </row>
    <row r="101" spans="1:13" ht="18" customHeight="1">
      <c r="A101" s="2" t="s">
        <v>114</v>
      </c>
      <c r="B101" s="2" t="s">
        <v>26</v>
      </c>
      <c r="C101" s="9">
        <v>-12.375999999999999</v>
      </c>
      <c r="D101" s="9">
        <v>-16.877000000000002</v>
      </c>
      <c r="E101" s="9">
        <v>-20.92</v>
      </c>
      <c r="F101" s="9">
        <v>-29.264999999999997</v>
      </c>
      <c r="G101" s="9">
        <v>-34.010000000000005</v>
      </c>
      <c r="H101" s="9">
        <v>-29.204000000000001</v>
      </c>
      <c r="I101" s="9">
        <v>-45.670999999999999</v>
      </c>
      <c r="J101" s="9">
        <v>-34.457000000000001</v>
      </c>
      <c r="K101" s="9">
        <v>-60.761000000000003</v>
      </c>
      <c r="L101" s="9">
        <v>-26</v>
      </c>
      <c r="M101" s="9">
        <v>-4737.3</v>
      </c>
    </row>
    <row r="102" spans="1:13" ht="18" customHeight="1">
      <c r="A102" s="2" t="s">
        <v>115</v>
      </c>
      <c r="B102" s="2" t="s">
        <v>26</v>
      </c>
      <c r="C102" s="9">
        <v>-1102.6489999999999</v>
      </c>
      <c r="D102" s="9">
        <v>-542.20299999999997</v>
      </c>
      <c r="E102" s="9">
        <v>0</v>
      </c>
      <c r="F102" s="9">
        <v>0</v>
      </c>
      <c r="G102" s="9">
        <v>0</v>
      </c>
      <c r="H102" s="9">
        <v>0</v>
      </c>
      <c r="I102" s="9">
        <v>0</v>
      </c>
      <c r="J102" s="9">
        <v>0</v>
      </c>
      <c r="K102" s="9">
        <v>0</v>
      </c>
      <c r="L102" s="9">
        <v>0</v>
      </c>
      <c r="M102" s="9">
        <v>-386.5</v>
      </c>
    </row>
    <row r="103" spans="1:13" ht="18" customHeight="1">
      <c r="A103" s="2" t="s">
        <v>116</v>
      </c>
      <c r="B103" s="2" t="s">
        <v>26</v>
      </c>
      <c r="C103" s="9">
        <v>1213.8150000000001</v>
      </c>
      <c r="D103" s="9">
        <v>0</v>
      </c>
      <c r="E103" s="9">
        <v>0</v>
      </c>
      <c r="F103" s="9">
        <v>0</v>
      </c>
      <c r="G103" s="9">
        <v>0</v>
      </c>
      <c r="H103" s="9">
        <v>0</v>
      </c>
      <c r="I103" s="9">
        <v>0</v>
      </c>
      <c r="J103" s="9">
        <v>0</v>
      </c>
      <c r="K103" s="9">
        <v>0</v>
      </c>
      <c r="L103" s="9">
        <v>0</v>
      </c>
      <c r="M103" s="9">
        <v>0</v>
      </c>
    </row>
    <row r="104" spans="1:13" ht="18" customHeight="1">
      <c r="A104" s="2" t="s">
        <v>117</v>
      </c>
      <c r="B104" s="2" t="s">
        <v>26</v>
      </c>
      <c r="C104" s="6">
        <f t="shared" ref="C104:M104" si="13">C105-SUM(C98:C103)</f>
        <v>-224.47700000000032</v>
      </c>
      <c r="D104" s="6">
        <f t="shared" si="13"/>
        <v>-109.26900000000001</v>
      </c>
      <c r="E104" s="6">
        <f t="shared" si="13"/>
        <v>1028.1200000000001</v>
      </c>
      <c r="F104" s="6">
        <f t="shared" si="13"/>
        <v>-278.04500000000002</v>
      </c>
      <c r="G104" s="6">
        <f t="shared" si="13"/>
        <v>-2415.5349999999999</v>
      </c>
      <c r="H104" s="6">
        <f t="shared" si="13"/>
        <v>-3580.3459999999995</v>
      </c>
      <c r="I104" s="6">
        <f t="shared" si="13"/>
        <v>-4413.5029999999979</v>
      </c>
      <c r="J104" s="6">
        <f t="shared" si="13"/>
        <v>-6725.3700000000008</v>
      </c>
      <c r="K104" s="6">
        <f t="shared" si="13"/>
        <v>-9635.8150000000005</v>
      </c>
      <c r="L104" s="6">
        <f t="shared" si="13"/>
        <v>-10897.699999999999</v>
      </c>
      <c r="M104" s="6">
        <f t="shared" si="13"/>
        <v>21.600000000002183</v>
      </c>
    </row>
    <row r="105" spans="1:13" ht="18" customHeight="1">
      <c r="A105" s="1" t="s">
        <v>118</v>
      </c>
      <c r="B105" s="1" t="s">
        <v>26</v>
      </c>
      <c r="C105" s="10">
        <v>-1219.9639999999999</v>
      </c>
      <c r="D105" s="10">
        <v>-1401.2059999999999</v>
      </c>
      <c r="E105" s="10">
        <v>765.95500000000004</v>
      </c>
      <c r="F105" s="10">
        <v>-592.15800000000002</v>
      </c>
      <c r="G105" s="10">
        <v>-2407.4839999999999</v>
      </c>
      <c r="H105" s="10">
        <v>-1775.337</v>
      </c>
      <c r="I105" s="10">
        <v>-3087.8419999999996</v>
      </c>
      <c r="J105" s="10">
        <v>-8432.4600000000009</v>
      </c>
      <c r="K105" s="10">
        <v>-9978.5280000000002</v>
      </c>
      <c r="L105" s="10">
        <v>-11015.4</v>
      </c>
      <c r="M105" s="10">
        <v>-21276.1</v>
      </c>
    </row>
    <row r="106" spans="1:13" ht="18" customHeight="1">
      <c r="A106" s="1" t="s">
        <v>119</v>
      </c>
      <c r="B106" s="1" t="s">
        <v>26</v>
      </c>
      <c r="C106" s="10">
        <v>552.91700000000003</v>
      </c>
      <c r="D106" s="10">
        <v>-656.99300000000005</v>
      </c>
      <c r="E106" s="10">
        <v>509.50599999999997</v>
      </c>
      <c r="F106" s="10">
        <v>47.332000000000001</v>
      </c>
      <c r="G106" s="10">
        <v>-3.7</v>
      </c>
      <c r="H106" s="10">
        <v>-192.453</v>
      </c>
      <c r="I106" s="10">
        <v>505.18700000000001</v>
      </c>
      <c r="J106" s="10">
        <v>235.99100000000001</v>
      </c>
      <c r="K106" s="10">
        <v>-569.94399999999996</v>
      </c>
      <c r="L106" s="10">
        <v>376.6</v>
      </c>
      <c r="M106" s="10">
        <v>241.3</v>
      </c>
    </row>
    <row r="107" spans="1:13" ht="18" customHeight="1">
      <c r="A107" s="1" t="s">
        <v>120</v>
      </c>
      <c r="B107" s="1" t="s">
        <v>26</v>
      </c>
      <c r="C107" s="10">
        <v>5.702</v>
      </c>
      <c r="D107" s="10">
        <v>4.7439999999999998</v>
      </c>
      <c r="E107" s="10">
        <v>8.093</v>
      </c>
      <c r="F107" s="10">
        <v>10.367000000000001</v>
      </c>
      <c r="G107" s="10">
        <v>-5.6509999999999998</v>
      </c>
      <c r="H107" s="10">
        <v>-17.728000000000002</v>
      </c>
      <c r="I107" s="10">
        <v>1.2569999999999999</v>
      </c>
      <c r="J107" s="10">
        <v>16.649000000000001</v>
      </c>
      <c r="K107" s="10">
        <v>-2.7469999999999999</v>
      </c>
      <c r="L107" s="10">
        <v>1.2</v>
      </c>
      <c r="M107" s="10">
        <v>9.5</v>
      </c>
    </row>
    <row r="108" spans="1:13" ht="18" customHeight="1">
      <c r="A108" s="1" t="s">
        <v>121</v>
      </c>
      <c r="B108" s="1" t="s">
        <v>26</v>
      </c>
      <c r="C108" s="10">
        <v>246.749</v>
      </c>
      <c r="D108" s="7">
        <f t="shared" ref="D108:M108" si="14">C48</f>
        <v>805.36800000000005</v>
      </c>
      <c r="E108" s="7">
        <f t="shared" si="14"/>
        <v>153.119</v>
      </c>
      <c r="F108" s="7">
        <f t="shared" si="14"/>
        <v>670.71800000000007</v>
      </c>
      <c r="G108" s="7">
        <f t="shared" si="14"/>
        <v>728.41700000000003</v>
      </c>
      <c r="H108" s="7">
        <f t="shared" si="14"/>
        <v>719.06600000000003</v>
      </c>
      <c r="I108" s="7">
        <f t="shared" si="14"/>
        <v>508.8850000000001</v>
      </c>
      <c r="J108" s="7">
        <f t="shared" si="14"/>
        <v>1015.329</v>
      </c>
      <c r="K108" s="7">
        <f t="shared" si="14"/>
        <v>1267.9690000000001</v>
      </c>
      <c r="L108" s="7">
        <f t="shared" si="14"/>
        <v>695.27700000000004</v>
      </c>
      <c r="M108" s="7">
        <f t="shared" si="14"/>
        <v>1073.0999999999999</v>
      </c>
    </row>
    <row r="109" spans="1:13" ht="18" customHeight="1">
      <c r="A109" s="1" t="s">
        <v>122</v>
      </c>
      <c r="B109" s="1" t="s">
        <v>26</v>
      </c>
      <c r="C109" s="7">
        <f t="shared" ref="C109:M109" si="15">C48</f>
        <v>805.36800000000005</v>
      </c>
      <c r="D109" s="7">
        <f t="shared" si="15"/>
        <v>153.119</v>
      </c>
      <c r="E109" s="7">
        <f t="shared" si="15"/>
        <v>670.71800000000007</v>
      </c>
      <c r="F109" s="7">
        <f t="shared" si="15"/>
        <v>728.41700000000003</v>
      </c>
      <c r="G109" s="7">
        <f t="shared" si="15"/>
        <v>719.06600000000003</v>
      </c>
      <c r="H109" s="7">
        <f t="shared" si="15"/>
        <v>508.8850000000001</v>
      </c>
      <c r="I109" s="7">
        <f t="shared" si="15"/>
        <v>1015.329</v>
      </c>
      <c r="J109" s="7">
        <f t="shared" si="15"/>
        <v>1267.9690000000001</v>
      </c>
      <c r="K109" s="7">
        <f t="shared" si="15"/>
        <v>695.27700000000004</v>
      </c>
      <c r="L109" s="7">
        <f t="shared" si="15"/>
        <v>1073.0999999999999</v>
      </c>
      <c r="M109" s="7">
        <f t="shared" si="15"/>
        <v>1323.9</v>
      </c>
    </row>
    <row r="110" spans="1:13" ht="18" customHeight="1">
      <c r="A110" s="5" t="s">
        <v>123</v>
      </c>
      <c r="B110" s="5" t="s">
        <v>26</v>
      </c>
      <c r="C110" s="8">
        <f t="shared" ref="C110:M110" si="16">ROUND(C108+C106+C107-C109,1)</f>
        <v>0</v>
      </c>
      <c r="D110" s="8">
        <f t="shared" si="16"/>
        <v>0</v>
      </c>
      <c r="E110" s="8">
        <f t="shared" si="16"/>
        <v>0</v>
      </c>
      <c r="F110" s="8">
        <f t="shared" si="16"/>
        <v>0</v>
      </c>
      <c r="G110" s="8">
        <f t="shared" si="16"/>
        <v>0</v>
      </c>
      <c r="H110" s="8">
        <f t="shared" si="16"/>
        <v>0</v>
      </c>
      <c r="I110" s="8">
        <f t="shared" si="16"/>
        <v>0</v>
      </c>
      <c r="J110" s="8">
        <f t="shared" si="16"/>
        <v>0</v>
      </c>
      <c r="K110" s="8">
        <f t="shared" si="16"/>
        <v>0</v>
      </c>
      <c r="L110" s="8">
        <f t="shared" si="16"/>
        <v>0</v>
      </c>
      <c r="M110" s="8">
        <f t="shared" si="16"/>
        <v>0</v>
      </c>
    </row>
  </sheetData>
  <mergeCells count="6">
    <mergeCell ref="A81:M81"/>
    <mergeCell ref="A1:M1"/>
    <mergeCell ref="A2:M2"/>
    <mergeCell ref="A3:M3"/>
    <mergeCell ref="A7:M7"/>
    <mergeCell ref="A32:M32"/>
  </mergeCells>
  <pageMargins left="0.7" right="0.7" top="0.75" bottom="0.75" header="0.3" footer="0.3"/>
  <ignoredErrors>
    <ignoredError sqref="C104:D104 E104:M104" formulaRange="1"/>
  </ignoredErrors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howOutlineSymbols="0"/>
  </sheetPr>
  <dimension ref="A1:M27"/>
  <sheetViews>
    <sheetView showGridLines="0" showOutlineSymbols="0" workbookViewId="0">
      <pane ySplit="5" topLeftCell="A6" activePane="bottomLeft" state="frozen"/>
      <selection pane="bottomLeft" activeCell="G17" sqref="G17"/>
    </sheetView>
  </sheetViews>
  <sheetFormatPr baseColWidth="10" defaultColWidth="8.83203125" defaultRowHeight="14" outlineLevelRow="1"/>
  <cols>
    <col min="1" max="1" width="29.1640625" customWidth="1"/>
    <col min="2" max="2" width="17.5" customWidth="1"/>
    <col min="3" max="13" width="13" customWidth="1"/>
  </cols>
  <sheetData>
    <row r="1" spans="1:13" ht="27" customHeight="1">
      <c r="A1" s="200" t="s">
        <v>124</v>
      </c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</row>
    <row r="2" spans="1:13" ht="18" customHeight="1">
      <c r="A2" s="145" t="s">
        <v>160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</row>
    <row r="3" spans="1:13" ht="24" customHeight="1">
      <c r="A3" s="147" t="s">
        <v>161</v>
      </c>
      <c r="B3" s="147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</row>
    <row r="4" spans="1:13" ht="18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ht="18" customHeight="1">
      <c r="A5" s="3" t="s">
        <v>8</v>
      </c>
      <c r="B5" s="3" t="s">
        <v>9</v>
      </c>
      <c r="C5" s="4" t="s">
        <v>10</v>
      </c>
      <c r="D5" s="4" t="s">
        <v>11</v>
      </c>
      <c r="E5" s="4" t="s">
        <v>12</v>
      </c>
      <c r="F5" s="4" t="s">
        <v>13</v>
      </c>
      <c r="G5" s="4" t="s">
        <v>14</v>
      </c>
      <c r="H5" s="4" t="s">
        <v>15</v>
      </c>
      <c r="I5" s="4" t="s">
        <v>16</v>
      </c>
      <c r="J5" s="4" t="s">
        <v>17</v>
      </c>
      <c r="K5" s="4" t="s">
        <v>18</v>
      </c>
      <c r="L5" s="4" t="s">
        <v>19</v>
      </c>
      <c r="M5" s="4" t="s">
        <v>20</v>
      </c>
    </row>
    <row r="6" spans="1:13" ht="27" customHeight="1">
      <c r="A6" s="2" t="s">
        <v>132</v>
      </c>
      <c r="B6" s="2"/>
      <c r="C6" s="22" t="s">
        <v>162</v>
      </c>
      <c r="D6" s="22" t="s">
        <v>163</v>
      </c>
      <c r="E6" s="22" t="s">
        <v>164</v>
      </c>
      <c r="F6" s="22" t="s">
        <v>165</v>
      </c>
      <c r="G6" s="22" t="s">
        <v>166</v>
      </c>
      <c r="H6" s="22" t="s">
        <v>167</v>
      </c>
      <c r="I6" s="22" t="s">
        <v>168</v>
      </c>
      <c r="J6" s="22" t="s">
        <v>169</v>
      </c>
      <c r="K6" s="22" t="s">
        <v>170</v>
      </c>
      <c r="L6" s="22" t="s">
        <v>171</v>
      </c>
      <c r="M6" s="22" t="s">
        <v>172</v>
      </c>
    </row>
    <row r="7" spans="1:13" ht="18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ht="18" customHeight="1">
      <c r="A8" s="141" t="s">
        <v>173</v>
      </c>
      <c r="B8" s="141"/>
      <c r="C8" s="141"/>
      <c r="D8" s="141"/>
      <c r="E8" s="141"/>
      <c r="F8" s="141"/>
      <c r="G8" s="141"/>
      <c r="H8" s="141"/>
      <c r="I8" s="141"/>
      <c r="J8" s="141"/>
      <c r="K8" s="141"/>
      <c r="L8" s="141"/>
      <c r="M8" s="141"/>
    </row>
    <row r="9" spans="1:13" ht="18" customHeight="1" outlineLevel="1">
      <c r="A9" s="2" t="s">
        <v>253</v>
      </c>
      <c r="B9" s="2" t="s">
        <v>175</v>
      </c>
      <c r="C9" s="9">
        <v>42.83</v>
      </c>
      <c r="D9" s="9">
        <v>54.58</v>
      </c>
      <c r="E9" s="9">
        <v>63.5</v>
      </c>
      <c r="F9" s="9">
        <v>81</v>
      </c>
      <c r="G9" s="9">
        <v>96.2</v>
      </c>
      <c r="H9" s="9">
        <v>45.4</v>
      </c>
      <c r="I9" s="9">
        <v>70.400000000000006</v>
      </c>
      <c r="J9" s="9">
        <v>114.4</v>
      </c>
      <c r="K9" s="9">
        <v>139.30000000000001</v>
      </c>
      <c r="L9" s="9">
        <v>157.5</v>
      </c>
      <c r="M9" s="9">
        <v>172.4</v>
      </c>
    </row>
    <row r="10" spans="1:13" ht="18" customHeight="1" outlineLevel="1">
      <c r="A10" s="2" t="s">
        <v>254</v>
      </c>
      <c r="B10" s="2" t="s">
        <v>175</v>
      </c>
      <c r="C10" s="9">
        <v>35.97</v>
      </c>
      <c r="D10" s="9">
        <v>46.29</v>
      </c>
      <c r="E10" s="9">
        <v>55.5</v>
      </c>
      <c r="F10" s="9">
        <v>69.8</v>
      </c>
      <c r="G10" s="9">
        <v>82.5</v>
      </c>
      <c r="H10" s="9">
        <v>31.5</v>
      </c>
      <c r="I10" s="9">
        <v>51.8</v>
      </c>
      <c r="J10" s="9">
        <v>93.9</v>
      </c>
      <c r="K10" s="9">
        <v>119.7</v>
      </c>
      <c r="L10" s="9">
        <v>135.4</v>
      </c>
      <c r="M10" s="9">
        <v>145.5</v>
      </c>
    </row>
    <row r="11" spans="1:13" ht="18" customHeight="1">
      <c r="A11" s="18" t="s">
        <v>177</v>
      </c>
      <c r="B11" s="18" t="s">
        <v>178</v>
      </c>
      <c r="C11" s="19">
        <f t="shared" ref="C11:M11" si="0">C10/C9</f>
        <v>0.83983189353257059</v>
      </c>
      <c r="D11" s="19">
        <f t="shared" si="0"/>
        <v>0.84811286185415902</v>
      </c>
      <c r="E11" s="19">
        <f t="shared" si="0"/>
        <v>0.87401574803149606</v>
      </c>
      <c r="F11" s="19">
        <f t="shared" si="0"/>
        <v>0.86172839506172838</v>
      </c>
      <c r="G11" s="19">
        <f t="shared" si="0"/>
        <v>0.85758835758835761</v>
      </c>
      <c r="H11" s="19">
        <f t="shared" si="0"/>
        <v>0.69383259911894279</v>
      </c>
      <c r="I11" s="19">
        <f t="shared" si="0"/>
        <v>0.73579545454545447</v>
      </c>
      <c r="J11" s="19">
        <f t="shared" si="0"/>
        <v>0.82080419580419584</v>
      </c>
      <c r="K11" s="19">
        <f t="shared" si="0"/>
        <v>0.85929648241206025</v>
      </c>
      <c r="L11" s="19">
        <f t="shared" si="0"/>
        <v>0.85968253968253971</v>
      </c>
      <c r="M11" s="19">
        <f t="shared" si="0"/>
        <v>0.84396751740139209</v>
      </c>
    </row>
    <row r="12" spans="1:13" ht="18" customHeight="1">
      <c r="A12" s="2" t="s">
        <v>179</v>
      </c>
      <c r="B12" s="2" t="s">
        <v>180</v>
      </c>
      <c r="C12" s="9">
        <v>33.103999999999999</v>
      </c>
      <c r="D12" s="9">
        <v>43.531999999999996</v>
      </c>
      <c r="E12" s="9">
        <v>52.142000000000003</v>
      </c>
      <c r="F12" s="9">
        <v>64.742999999999995</v>
      </c>
      <c r="G12" s="9">
        <v>75.025999999999996</v>
      </c>
      <c r="H12" s="9">
        <v>30.7</v>
      </c>
      <c r="I12" s="9">
        <v>49.8</v>
      </c>
      <c r="J12" s="9">
        <v>85.6</v>
      </c>
      <c r="K12" s="9">
        <v>106.7</v>
      </c>
      <c r="L12" s="9">
        <v>118.6</v>
      </c>
      <c r="M12" s="9">
        <v>123.4</v>
      </c>
    </row>
    <row r="13" spans="1:13" ht="18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18" customHeight="1">
      <c r="A14" s="141" t="s">
        <v>181</v>
      </c>
      <c r="B14" s="141"/>
      <c r="C14" s="141"/>
      <c r="D14" s="141"/>
      <c r="E14" s="141"/>
      <c r="F14" s="141"/>
      <c r="G14" s="141"/>
      <c r="H14" s="141"/>
      <c r="I14" s="141"/>
      <c r="J14" s="141"/>
      <c r="K14" s="141"/>
      <c r="L14" s="141"/>
      <c r="M14" s="141"/>
    </row>
    <row r="15" spans="1:13" ht="18" customHeight="1">
      <c r="A15" s="2" t="s">
        <v>182</v>
      </c>
      <c r="B15" s="2" t="s">
        <v>183</v>
      </c>
      <c r="C15" s="11">
        <v>3.91</v>
      </c>
      <c r="D15" s="11">
        <v>3.5</v>
      </c>
      <c r="E15" s="11">
        <v>3.59</v>
      </c>
      <c r="F15" s="11">
        <v>3.6</v>
      </c>
      <c r="G15" s="11">
        <v>3.81</v>
      </c>
      <c r="H15" s="11">
        <v>3.76</v>
      </c>
      <c r="I15" s="11">
        <v>4.24</v>
      </c>
      <c r="J15" s="11">
        <v>5.13</v>
      </c>
      <c r="K15" s="11">
        <v>5.08</v>
      </c>
      <c r="L15" s="11">
        <v>5.15</v>
      </c>
      <c r="M15" s="11">
        <v>5.0599999999999996</v>
      </c>
    </row>
    <row r="16" spans="1:13" ht="18" customHeight="1">
      <c r="A16" s="2" t="s">
        <v>184</v>
      </c>
      <c r="B16" s="2" t="s">
        <v>185</v>
      </c>
      <c r="C16" s="11">
        <v>3.78</v>
      </c>
      <c r="D16" s="11">
        <v>3.44</v>
      </c>
      <c r="E16" s="11">
        <v>3.64</v>
      </c>
      <c r="F16" s="11">
        <v>3.57</v>
      </c>
      <c r="G16" s="11">
        <v>3.77</v>
      </c>
      <c r="H16" s="11">
        <v>3.3</v>
      </c>
      <c r="I16" s="11">
        <v>3.73</v>
      </c>
      <c r="J16" s="11">
        <v>4.8</v>
      </c>
      <c r="K16" s="11">
        <v>4.96</v>
      </c>
      <c r="L16" s="11">
        <v>5.14</v>
      </c>
      <c r="M16" s="11">
        <v>4.99</v>
      </c>
    </row>
    <row r="17" spans="1:13" ht="18" customHeight="1" outlineLevel="1">
      <c r="A17" s="2" t="s">
        <v>186</v>
      </c>
      <c r="B17" s="2" t="s">
        <v>185</v>
      </c>
      <c r="C17" s="11">
        <v>3.12</v>
      </c>
      <c r="D17" s="11">
        <v>3.04</v>
      </c>
      <c r="E17" s="11">
        <v>3.15</v>
      </c>
      <c r="F17" s="11">
        <v>3.59</v>
      </c>
      <c r="G17" s="11">
        <v>3.8</v>
      </c>
      <c r="H17" s="11">
        <v>4.58</v>
      </c>
      <c r="I17" s="11">
        <v>4.5999999999999996</v>
      </c>
      <c r="J17" s="11">
        <v>4.83</v>
      </c>
      <c r="K17" s="11">
        <v>4.38</v>
      </c>
      <c r="L17" s="11">
        <v>4.66</v>
      </c>
      <c r="M17" s="11">
        <v>5</v>
      </c>
    </row>
    <row r="18" spans="1:13" ht="18" customHeight="1" outlineLevel="1">
      <c r="A18" s="2" t="s">
        <v>187</v>
      </c>
      <c r="B18" s="2" t="s">
        <v>185</v>
      </c>
      <c r="C18" s="11">
        <v>2.0099999999999998</v>
      </c>
      <c r="D18" s="11">
        <v>1.88</v>
      </c>
      <c r="E18" s="11">
        <v>1.93</v>
      </c>
      <c r="F18" s="11">
        <v>2.11</v>
      </c>
      <c r="G18" s="11">
        <v>2.5</v>
      </c>
      <c r="H18" s="11">
        <v>3.74</v>
      </c>
      <c r="I18" s="11">
        <v>3.22</v>
      </c>
      <c r="J18" s="11">
        <v>2.76</v>
      </c>
      <c r="K18" s="11">
        <v>2.66</v>
      </c>
      <c r="L18" s="11">
        <v>3</v>
      </c>
      <c r="M18" s="11">
        <v>3.52</v>
      </c>
    </row>
    <row r="19" spans="1:13" ht="18" customHeight="1">
      <c r="A19" s="18" t="s">
        <v>188</v>
      </c>
      <c r="B19" s="18" t="s">
        <v>185</v>
      </c>
      <c r="C19" s="20">
        <f t="shared" ref="C19:M19" si="1">C17-C18</f>
        <v>1.1100000000000003</v>
      </c>
      <c r="D19" s="20">
        <f t="shared" si="1"/>
        <v>1.1600000000000001</v>
      </c>
      <c r="E19" s="20">
        <f t="shared" si="1"/>
        <v>1.22</v>
      </c>
      <c r="F19" s="20">
        <f t="shared" si="1"/>
        <v>1.48</v>
      </c>
      <c r="G19" s="20">
        <f t="shared" si="1"/>
        <v>1.2999999999999998</v>
      </c>
      <c r="H19" s="20">
        <f t="shared" si="1"/>
        <v>0.83999999999999986</v>
      </c>
      <c r="I19" s="20">
        <f t="shared" si="1"/>
        <v>1.3799999999999994</v>
      </c>
      <c r="J19" s="20">
        <f t="shared" si="1"/>
        <v>2.0700000000000003</v>
      </c>
      <c r="K19" s="20">
        <f t="shared" si="1"/>
        <v>1.7199999999999998</v>
      </c>
      <c r="L19" s="20">
        <f t="shared" si="1"/>
        <v>1.6600000000000001</v>
      </c>
      <c r="M19" s="20">
        <f t="shared" si="1"/>
        <v>1.48</v>
      </c>
    </row>
    <row r="20" spans="1:13" ht="18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3" ht="18" customHeight="1">
      <c r="A21" s="141" t="s">
        <v>189</v>
      </c>
      <c r="B21" s="141"/>
      <c r="C21" s="141"/>
      <c r="D21" s="141"/>
      <c r="E21" s="141"/>
      <c r="F21" s="141"/>
      <c r="G21" s="141"/>
      <c r="H21" s="141"/>
      <c r="I21" s="141"/>
      <c r="J21" s="141"/>
      <c r="K21" s="141"/>
      <c r="L21" s="141"/>
      <c r="M21" s="141"/>
    </row>
    <row r="22" spans="1:13" ht="18" customHeight="1">
      <c r="A22" s="2" t="s">
        <v>190</v>
      </c>
      <c r="B22" s="2" t="s">
        <v>191</v>
      </c>
      <c r="C22" s="16">
        <v>107</v>
      </c>
      <c r="D22" s="16">
        <v>131</v>
      </c>
      <c r="E22" s="16">
        <v>159</v>
      </c>
      <c r="F22" s="16">
        <v>217</v>
      </c>
      <c r="G22" s="16">
        <v>262</v>
      </c>
      <c r="H22" s="16">
        <v>285</v>
      </c>
      <c r="I22" s="16">
        <v>275</v>
      </c>
      <c r="J22" s="16">
        <v>304</v>
      </c>
      <c r="K22" s="16">
        <v>367</v>
      </c>
      <c r="L22" s="16">
        <v>434</v>
      </c>
      <c r="M22" s="16">
        <v>441</v>
      </c>
    </row>
    <row r="23" spans="1:13" ht="18" customHeight="1">
      <c r="A23" s="2" t="s">
        <v>192</v>
      </c>
      <c r="B23" s="2" t="s">
        <v>191</v>
      </c>
      <c r="C23" s="17"/>
      <c r="D23" s="17">
        <f t="shared" ref="D23:M23" si="2">D22-C22</f>
        <v>24</v>
      </c>
      <c r="E23" s="17">
        <f t="shared" si="2"/>
        <v>28</v>
      </c>
      <c r="F23" s="17">
        <f t="shared" si="2"/>
        <v>58</v>
      </c>
      <c r="G23" s="17">
        <f t="shared" si="2"/>
        <v>45</v>
      </c>
      <c r="H23" s="17">
        <f t="shared" si="2"/>
        <v>23</v>
      </c>
      <c r="I23" s="17">
        <f t="shared" si="2"/>
        <v>-10</v>
      </c>
      <c r="J23" s="17">
        <f t="shared" si="2"/>
        <v>29</v>
      </c>
      <c r="K23" s="17">
        <f t="shared" si="2"/>
        <v>63</v>
      </c>
      <c r="L23" s="17">
        <f t="shared" si="2"/>
        <v>67</v>
      </c>
      <c r="M23" s="17">
        <f t="shared" si="2"/>
        <v>7</v>
      </c>
    </row>
    <row r="24" spans="1:13" ht="18" customHeight="1">
      <c r="A24" s="2" t="s">
        <v>193</v>
      </c>
      <c r="B24" s="2" t="s">
        <v>194</v>
      </c>
      <c r="C24" s="16">
        <v>731</v>
      </c>
      <c r="D24" s="16">
        <v>896</v>
      </c>
      <c r="E24" s="16">
        <v>1086</v>
      </c>
      <c r="F24" s="16">
        <v>1376</v>
      </c>
      <c r="G24" s="16">
        <v>1674</v>
      </c>
      <c r="H24" s="16">
        <v>1301</v>
      </c>
      <c r="I24" s="16">
        <v>1577</v>
      </c>
      <c r="J24" s="16">
        <v>1815</v>
      </c>
      <c r="K24" s="16">
        <v>2021</v>
      </c>
      <c r="L24" s="16">
        <v>2304</v>
      </c>
      <c r="M24" s="16">
        <v>2241</v>
      </c>
    </row>
    <row r="25" spans="1:13" ht="18" customHeight="1" outlineLevel="1">
      <c r="A25" s="2" t="s">
        <v>195</v>
      </c>
      <c r="B25" s="2" t="s">
        <v>196</v>
      </c>
      <c r="C25" s="16">
        <v>35</v>
      </c>
      <c r="D25" s="16">
        <v>38</v>
      </c>
      <c r="E25" s="16">
        <v>42</v>
      </c>
      <c r="F25" s="16">
        <v>52</v>
      </c>
      <c r="G25" s="16">
        <v>62</v>
      </c>
      <c r="H25" s="16">
        <v>65</v>
      </c>
      <c r="I25" s="16">
        <v>73</v>
      </c>
      <c r="J25" s="16">
        <v>78</v>
      </c>
      <c r="K25" s="16">
        <v>88</v>
      </c>
      <c r="L25" s="16">
        <v>91</v>
      </c>
      <c r="M25" s="16">
        <v>97</v>
      </c>
    </row>
    <row r="26" spans="1:13" ht="18" customHeight="1" outlineLevel="1">
      <c r="A26" s="2" t="s">
        <v>197</v>
      </c>
      <c r="B26" s="2" t="s">
        <v>196</v>
      </c>
      <c r="C26" s="16">
        <v>5</v>
      </c>
      <c r="D26" s="16">
        <v>6</v>
      </c>
      <c r="E26" s="16">
        <v>8</v>
      </c>
      <c r="F26" s="16">
        <v>16</v>
      </c>
      <c r="G26" s="16">
        <v>24</v>
      </c>
      <c r="H26" s="16">
        <v>10</v>
      </c>
      <c r="I26" s="16">
        <v>15</v>
      </c>
      <c r="J26" s="16">
        <v>22</v>
      </c>
      <c r="K26" s="16">
        <v>30</v>
      </c>
      <c r="L26" s="16">
        <v>40</v>
      </c>
      <c r="M26" s="16">
        <v>45</v>
      </c>
    </row>
    <row r="27" spans="1:13" ht="18" customHeight="1">
      <c r="A27" s="18" t="s">
        <v>198</v>
      </c>
      <c r="B27" s="18" t="s">
        <v>196</v>
      </c>
      <c r="C27" s="21">
        <f t="shared" ref="C27:M27" si="3">C25+C26</f>
        <v>40</v>
      </c>
      <c r="D27" s="21">
        <f t="shared" si="3"/>
        <v>44</v>
      </c>
      <c r="E27" s="21">
        <f t="shared" si="3"/>
        <v>50</v>
      </c>
      <c r="F27" s="21">
        <f t="shared" si="3"/>
        <v>68</v>
      </c>
      <c r="G27" s="21">
        <f t="shared" si="3"/>
        <v>86</v>
      </c>
      <c r="H27" s="21">
        <f t="shared" si="3"/>
        <v>75</v>
      </c>
      <c r="I27" s="21">
        <f t="shared" si="3"/>
        <v>88</v>
      </c>
      <c r="J27" s="21">
        <f t="shared" si="3"/>
        <v>100</v>
      </c>
      <c r="K27" s="21">
        <f t="shared" si="3"/>
        <v>118</v>
      </c>
      <c r="L27" s="21">
        <f t="shared" si="3"/>
        <v>131</v>
      </c>
      <c r="M27" s="21">
        <f t="shared" si="3"/>
        <v>142</v>
      </c>
    </row>
  </sheetData>
  <mergeCells count="6">
    <mergeCell ref="A14:M14"/>
    <mergeCell ref="A21:M21"/>
    <mergeCell ref="A1:M1"/>
    <mergeCell ref="A2:M2"/>
    <mergeCell ref="A3:M3"/>
    <mergeCell ref="A8:M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BB142-8136-4A43-ACCE-5ECFC0187543}">
  <sheetPr>
    <tabColor rgb="FF2F5D50"/>
  </sheetPr>
  <dimension ref="A1:J25"/>
  <sheetViews>
    <sheetView showGridLines="0" workbookViewId="0"/>
  </sheetViews>
  <sheetFormatPr baseColWidth="10" defaultRowHeight="14"/>
  <cols>
    <col min="1" max="1" width="36.6640625" customWidth="1"/>
    <col min="2" max="2" width="20" customWidth="1"/>
    <col min="3" max="10" width="13.6640625" customWidth="1"/>
  </cols>
  <sheetData>
    <row r="1" spans="1:10" ht="19">
      <c r="A1" s="179" t="s">
        <v>519</v>
      </c>
      <c r="B1" s="179"/>
      <c r="C1" s="179"/>
      <c r="D1" s="179"/>
      <c r="E1" s="179"/>
      <c r="F1" s="179"/>
      <c r="G1" s="179"/>
      <c r="H1" s="179"/>
      <c r="I1" s="179"/>
      <c r="J1" s="179"/>
    </row>
    <row r="2" spans="1:10">
      <c r="A2" s="130" t="s">
        <v>520</v>
      </c>
      <c r="B2" s="130"/>
      <c r="C2" s="130"/>
      <c r="D2" s="130"/>
      <c r="E2" s="130"/>
      <c r="F2" s="130"/>
      <c r="G2" s="130"/>
      <c r="H2" s="130"/>
      <c r="I2" s="130"/>
      <c r="J2" s="130"/>
    </row>
    <row r="3" spans="1:10">
      <c r="A3" s="130" t="s">
        <v>521</v>
      </c>
      <c r="B3" s="130"/>
      <c r="C3" s="130"/>
      <c r="D3" s="130"/>
      <c r="E3" s="130"/>
      <c r="F3" s="130"/>
      <c r="G3" s="130"/>
      <c r="H3" s="130"/>
      <c r="I3" s="130"/>
      <c r="J3" s="130"/>
    </row>
    <row r="4" spans="1:10">
      <c r="A4" s="130"/>
      <c r="B4" s="130"/>
      <c r="C4" s="130"/>
      <c r="D4" s="130"/>
      <c r="E4" s="130"/>
      <c r="F4" s="130"/>
      <c r="G4" s="130"/>
      <c r="H4" s="130"/>
      <c r="I4" s="130"/>
      <c r="J4" s="130"/>
    </row>
    <row r="5" spans="1:10" ht="15" thickBot="1">
      <c r="A5" s="209" t="s">
        <v>8</v>
      </c>
      <c r="B5" s="209" t="s">
        <v>9</v>
      </c>
      <c r="C5" s="209" t="s">
        <v>522</v>
      </c>
      <c r="D5" s="209" t="s">
        <v>523</v>
      </c>
      <c r="E5" s="209" t="s">
        <v>524</v>
      </c>
      <c r="F5" s="209" t="s">
        <v>525</v>
      </c>
      <c r="G5" s="201"/>
      <c r="H5" s="201"/>
      <c r="I5" s="201"/>
      <c r="J5" s="201"/>
    </row>
    <row r="6" spans="1:10">
      <c r="A6" s="130"/>
      <c r="B6" s="130"/>
      <c r="C6" s="130"/>
      <c r="D6" s="130"/>
      <c r="E6" s="130"/>
      <c r="F6" s="130"/>
      <c r="G6" s="130"/>
      <c r="H6" s="130"/>
      <c r="I6" s="130"/>
      <c r="J6" s="130"/>
    </row>
    <row r="7" spans="1:10">
      <c r="A7" s="130"/>
      <c r="B7" s="130"/>
      <c r="C7" s="130"/>
      <c r="D7" s="130"/>
      <c r="E7" s="130"/>
      <c r="F7" s="130"/>
      <c r="G7" s="130"/>
      <c r="H7" s="130"/>
      <c r="I7" s="130"/>
      <c r="J7" s="130"/>
    </row>
    <row r="8" spans="1:10">
      <c r="A8" s="210" t="s">
        <v>526</v>
      </c>
      <c r="B8" s="210"/>
      <c r="C8" s="210"/>
      <c r="D8" s="210"/>
      <c r="E8" s="210"/>
      <c r="F8" s="210"/>
      <c r="G8" s="155"/>
      <c r="H8" s="155"/>
      <c r="I8" s="155"/>
      <c r="J8" s="155"/>
    </row>
    <row r="9" spans="1:10">
      <c r="A9" s="130" t="s">
        <v>527</v>
      </c>
      <c r="B9" s="130" t="s">
        <v>180</v>
      </c>
      <c r="C9" s="223">
        <v>369.85</v>
      </c>
      <c r="D9" s="223">
        <v>400.95</v>
      </c>
      <c r="E9" s="223">
        <v>420.03</v>
      </c>
      <c r="F9" s="226" t="s">
        <v>528</v>
      </c>
      <c r="G9" s="203"/>
      <c r="H9" s="203"/>
      <c r="I9" s="203"/>
      <c r="J9" s="203"/>
    </row>
    <row r="10" spans="1:10">
      <c r="A10" s="130" t="s">
        <v>529</v>
      </c>
      <c r="B10" s="130" t="s">
        <v>178</v>
      </c>
      <c r="C10" s="139"/>
      <c r="D10" s="133">
        <f>D9/C9-1</f>
        <v>8.4088143842097951E-2</v>
      </c>
      <c r="E10" s="133">
        <f>E9/D9-1</f>
        <v>4.7586980920314215E-2</v>
      </c>
      <c r="F10" s="167"/>
      <c r="G10" s="191"/>
      <c r="H10" s="191"/>
      <c r="I10" s="191"/>
      <c r="J10" s="191"/>
    </row>
    <row r="11" spans="1:10">
      <c r="A11" s="130" t="s">
        <v>530</v>
      </c>
      <c r="B11" s="130" t="s">
        <v>180</v>
      </c>
      <c r="C11" s="223">
        <v>302.92</v>
      </c>
      <c r="D11" s="224">
        <v>325.49</v>
      </c>
      <c r="E11" s="224">
        <v>338.91</v>
      </c>
      <c r="F11" s="167" t="s">
        <v>528</v>
      </c>
      <c r="G11" s="191"/>
      <c r="H11" s="191"/>
      <c r="I11" s="191"/>
      <c r="J11" s="191"/>
    </row>
    <row r="12" spans="1:10">
      <c r="A12" s="130" t="s">
        <v>529</v>
      </c>
      <c r="B12" s="130" t="s">
        <v>178</v>
      </c>
      <c r="C12" s="139"/>
      <c r="D12" s="133">
        <f>D11/C11-1</f>
        <v>7.4508120956027879E-2</v>
      </c>
      <c r="E12" s="133">
        <f>E11/D11-1</f>
        <v>4.1230145319364642E-2</v>
      </c>
      <c r="F12" s="167"/>
      <c r="G12" s="191"/>
      <c r="H12" s="191"/>
      <c r="I12" s="191"/>
      <c r="J12" s="191"/>
    </row>
    <row r="13" spans="1:10">
      <c r="A13" s="130" t="s">
        <v>531</v>
      </c>
      <c r="B13" s="130" t="s">
        <v>532</v>
      </c>
      <c r="C13" s="223">
        <v>2656.43</v>
      </c>
      <c r="D13" s="224">
        <v>2815.55</v>
      </c>
      <c r="E13" s="224">
        <v>2899.5</v>
      </c>
      <c r="F13" s="167" t="s">
        <v>528</v>
      </c>
      <c r="G13" s="191"/>
      <c r="H13" s="191"/>
      <c r="I13" s="191"/>
      <c r="J13" s="191"/>
    </row>
    <row r="14" spans="1:10">
      <c r="A14" s="130" t="s">
        <v>529</v>
      </c>
      <c r="B14" s="130" t="s">
        <v>178</v>
      </c>
      <c r="C14" s="204"/>
      <c r="D14" s="133">
        <f>D13/C13-1</f>
        <v>5.9899940898122894E-2</v>
      </c>
      <c r="E14" s="133">
        <f>E13/D13-1</f>
        <v>2.9816554492017477E-2</v>
      </c>
      <c r="F14" s="227"/>
      <c r="G14" s="204"/>
      <c r="H14" s="204"/>
      <c r="I14" s="204"/>
      <c r="J14" s="204"/>
    </row>
    <row r="15" spans="1:10">
      <c r="A15" s="130"/>
      <c r="B15" s="130"/>
      <c r="C15" s="130"/>
      <c r="D15" s="130"/>
      <c r="E15" s="130"/>
      <c r="F15" s="130"/>
      <c r="G15" s="130"/>
      <c r="H15" s="130"/>
      <c r="I15" s="130"/>
      <c r="J15" s="130"/>
    </row>
    <row r="16" spans="1:10">
      <c r="A16" s="211" t="s">
        <v>533</v>
      </c>
      <c r="B16" s="211"/>
      <c r="C16" s="211"/>
      <c r="D16" s="211"/>
      <c r="E16" s="211"/>
      <c r="F16" s="228"/>
      <c r="G16" s="130"/>
      <c r="H16" s="130"/>
      <c r="I16" s="130"/>
      <c r="J16" s="130"/>
    </row>
    <row r="17" spans="1:10">
      <c r="A17" s="155" t="s">
        <v>534</v>
      </c>
      <c r="B17" s="155" t="s">
        <v>178</v>
      </c>
      <c r="C17" s="155"/>
      <c r="D17" s="155"/>
      <c r="E17" s="225">
        <v>0.64200000000000002</v>
      </c>
      <c r="F17" s="162" t="s">
        <v>535</v>
      </c>
      <c r="G17" s="155"/>
      <c r="H17" s="155"/>
      <c r="I17" s="155"/>
      <c r="J17" s="155"/>
    </row>
    <row r="18" spans="1:10">
      <c r="A18" s="130"/>
      <c r="B18" s="130"/>
      <c r="C18" s="202"/>
      <c r="D18" s="130"/>
      <c r="E18" s="133"/>
      <c r="F18" s="130"/>
      <c r="G18" s="130"/>
      <c r="H18" s="130"/>
      <c r="I18" s="130"/>
      <c r="J18" s="130"/>
    </row>
    <row r="19" spans="1:10">
      <c r="A19" s="211" t="s">
        <v>536</v>
      </c>
      <c r="B19" s="211"/>
      <c r="C19" s="211"/>
      <c r="D19" s="211"/>
      <c r="E19" s="213"/>
      <c r="F19" s="228"/>
      <c r="G19" s="130"/>
      <c r="H19" s="130"/>
      <c r="I19" s="130"/>
      <c r="J19" s="130"/>
    </row>
    <row r="20" spans="1:10">
      <c r="A20" s="130" t="s">
        <v>537</v>
      </c>
      <c r="B20" s="130" t="s">
        <v>178</v>
      </c>
      <c r="C20" s="202"/>
      <c r="D20" s="130"/>
      <c r="E20" s="212">
        <f>'06_Operating_Model'!F19</f>
        <v>4.4571428571428484E-2</v>
      </c>
      <c r="F20" s="130"/>
      <c r="G20" s="130"/>
      <c r="H20" s="130"/>
      <c r="I20" s="130"/>
      <c r="J20" s="130"/>
    </row>
    <row r="21" spans="1:10">
      <c r="A21" s="130" t="s">
        <v>538</v>
      </c>
      <c r="B21" s="130" t="s">
        <v>178</v>
      </c>
      <c r="C21" s="202"/>
      <c r="D21" s="130"/>
      <c r="E21" s="212">
        <f>'06_Operating_Model'!F29</f>
        <v>3.1409589265259275E-2</v>
      </c>
      <c r="F21" s="130"/>
      <c r="G21" s="130"/>
      <c r="H21" s="130"/>
      <c r="I21" s="130"/>
      <c r="J21" s="130"/>
    </row>
    <row r="22" spans="1:10">
      <c r="A22" s="214" t="s">
        <v>505</v>
      </c>
      <c r="B22" s="214"/>
      <c r="C22" s="156" t="s">
        <v>539</v>
      </c>
      <c r="D22" s="214"/>
      <c r="E22" s="214"/>
      <c r="F22" s="156"/>
      <c r="G22" s="130"/>
      <c r="H22" s="130"/>
      <c r="I22" s="130"/>
      <c r="J22" s="130"/>
    </row>
    <row r="23" spans="1:10">
      <c r="A23" s="214"/>
      <c r="B23" s="214"/>
      <c r="C23" s="214"/>
      <c r="D23" s="214"/>
      <c r="E23" s="214"/>
      <c r="F23" s="214"/>
      <c r="G23" s="130"/>
      <c r="H23" s="130"/>
      <c r="I23" s="130"/>
      <c r="J23" s="130"/>
    </row>
    <row r="24" spans="1:10">
      <c r="A24" s="214" t="s">
        <v>540</v>
      </c>
      <c r="B24" s="214"/>
      <c r="C24" s="214" t="s">
        <v>541</v>
      </c>
      <c r="D24" s="214"/>
      <c r="E24" s="214"/>
      <c r="F24" s="214"/>
      <c r="G24" s="130"/>
      <c r="H24" s="130"/>
      <c r="I24" s="130"/>
      <c r="J24" s="130"/>
    </row>
    <row r="25" spans="1:10">
      <c r="A25" s="155"/>
      <c r="B25" s="155"/>
      <c r="C25" s="155"/>
      <c r="D25" s="155"/>
      <c r="E25" s="155"/>
      <c r="F25" s="155"/>
      <c r="G25" s="155"/>
      <c r="H25" s="155"/>
      <c r="I25" s="155"/>
      <c r="J25" s="155"/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97"/>
  <sheetViews>
    <sheetView showGridLines="0" zoomScale="122" zoomScaleNormal="122" workbookViewId="0">
      <pane xSplit="2" ySplit="5" topLeftCell="C89" activePane="bottomRight" state="frozen"/>
      <selection pane="topRight" activeCell="C1" sqref="C1"/>
      <selection pane="bottomLeft" activeCell="A6" sqref="A6"/>
      <selection pane="bottomRight" activeCell="E105" sqref="E105"/>
    </sheetView>
  </sheetViews>
  <sheetFormatPr baseColWidth="10" defaultColWidth="8.83203125" defaultRowHeight="14"/>
  <cols>
    <col min="1" max="1" width="42.5" customWidth="1"/>
    <col min="2" max="2" width="17.5" customWidth="1"/>
    <col min="3" max="13" width="12" customWidth="1"/>
  </cols>
  <sheetData>
    <row r="1" spans="1:13" ht="26" customHeight="1">
      <c r="A1" s="198" t="s">
        <v>125</v>
      </c>
      <c r="B1" s="198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</row>
    <row r="2" spans="1:13" ht="18" customHeight="1">
      <c r="A2" s="26" t="s">
        <v>160</v>
      </c>
      <c r="B2" s="26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</row>
    <row r="3" spans="1:13" ht="56">
      <c r="A3" s="28" t="s">
        <v>255</v>
      </c>
      <c r="B3" s="28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</row>
    <row r="4" spans="1:13" ht="18" customHeight="1">
      <c r="A4" s="24"/>
      <c r="B4" s="24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</row>
    <row r="5" spans="1:13" ht="21" customHeight="1" thickBot="1">
      <c r="A5" s="30" t="s">
        <v>8</v>
      </c>
      <c r="B5" s="30" t="s">
        <v>9</v>
      </c>
      <c r="C5" s="31" t="s">
        <v>10</v>
      </c>
      <c r="D5" s="31" t="s">
        <v>11</v>
      </c>
      <c r="E5" s="31" t="s">
        <v>12</v>
      </c>
      <c r="F5" s="31" t="s">
        <v>13</v>
      </c>
      <c r="G5" s="31" t="s">
        <v>14</v>
      </c>
      <c r="H5" s="31" t="s">
        <v>15</v>
      </c>
      <c r="I5" s="31" t="s">
        <v>16</v>
      </c>
      <c r="J5" s="31" t="s">
        <v>17</v>
      </c>
      <c r="K5" s="31" t="s">
        <v>18</v>
      </c>
      <c r="L5" s="31" t="s">
        <v>19</v>
      </c>
      <c r="M5" s="31" t="s">
        <v>20</v>
      </c>
    </row>
    <row r="6" spans="1:13" ht="28" customHeight="1">
      <c r="A6" s="32" t="s">
        <v>199</v>
      </c>
      <c r="B6" s="32"/>
      <c r="C6" s="33" t="s">
        <v>21</v>
      </c>
      <c r="D6" s="33" t="s">
        <v>21</v>
      </c>
      <c r="E6" s="33" t="s">
        <v>21</v>
      </c>
      <c r="F6" s="33" t="s">
        <v>21</v>
      </c>
      <c r="G6" s="34" t="s">
        <v>200</v>
      </c>
      <c r="H6" s="35" t="s">
        <v>22</v>
      </c>
      <c r="I6" s="35" t="s">
        <v>22</v>
      </c>
      <c r="J6" s="36" t="s">
        <v>23</v>
      </c>
      <c r="K6" s="33" t="s">
        <v>201</v>
      </c>
      <c r="L6" s="33" t="s">
        <v>201</v>
      </c>
      <c r="M6" s="37" t="s">
        <v>202</v>
      </c>
    </row>
    <row r="7" spans="1:13" ht="18" customHeight="1">
      <c r="A7" s="24"/>
      <c r="B7" s="24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</row>
    <row r="8" spans="1:13" ht="20" customHeight="1">
      <c r="A8" s="38" t="s">
        <v>203</v>
      </c>
      <c r="B8" s="38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</row>
    <row r="9" spans="1:13" ht="18" customHeight="1">
      <c r="A9" s="40" t="s">
        <v>204</v>
      </c>
      <c r="B9" s="24" t="s">
        <v>178</v>
      </c>
      <c r="C9" s="42"/>
      <c r="D9" s="42">
        <f t="shared" ref="D9:M9" si="0">IFERROR(D58/C58-1,"")</f>
        <v>0.15121466917812243</v>
      </c>
      <c r="E9" s="42">
        <f t="shared" si="0"/>
        <v>0.23898102849761838</v>
      </c>
      <c r="F9" s="42">
        <f t="shared" si="0"/>
        <v>0.23786594321930332</v>
      </c>
      <c r="G9" s="42">
        <f t="shared" si="0"/>
        <v>0.25473864197671259</v>
      </c>
      <c r="H9" s="42">
        <f t="shared" si="0"/>
        <v>-0.59054059205334519</v>
      </c>
      <c r="I9" s="42">
        <f t="shared" si="0"/>
        <v>0.77116184404893473</v>
      </c>
      <c r="J9" s="42">
        <f t="shared" si="0"/>
        <v>1.0996724490412548</v>
      </c>
      <c r="K9" s="42">
        <f t="shared" si="0"/>
        <v>0.26554326688645813</v>
      </c>
      <c r="L9" s="42">
        <f t="shared" si="0"/>
        <v>0.17268226725102442</v>
      </c>
      <c r="M9" s="42">
        <f t="shared" si="0"/>
        <v>5.1470924929674533E-2</v>
      </c>
    </row>
    <row r="10" spans="1:13" ht="18" customHeight="1">
      <c r="A10" s="40" t="s">
        <v>205</v>
      </c>
      <c r="B10" s="24" t="s">
        <v>178</v>
      </c>
      <c r="C10" s="42"/>
      <c r="D10" s="42">
        <f t="shared" ref="D10:M10" si="1">IFERROR(D89/C89-1,"")</f>
        <v>0.3150072498791685</v>
      </c>
      <c r="E10" s="42">
        <f t="shared" si="1"/>
        <v>0.19778553707617408</v>
      </c>
      <c r="F10" s="42">
        <f t="shared" si="1"/>
        <v>0.24166698630662409</v>
      </c>
      <c r="G10" s="42">
        <f t="shared" si="1"/>
        <v>0.15882798140339505</v>
      </c>
      <c r="H10" s="42">
        <f t="shared" si="1"/>
        <v>-0.59080851971316606</v>
      </c>
      <c r="I10" s="42">
        <f t="shared" si="1"/>
        <v>0.62214983713355054</v>
      </c>
      <c r="J10" s="42">
        <f t="shared" si="1"/>
        <v>0.71887550200803219</v>
      </c>
      <c r="K10" s="42">
        <f t="shared" si="1"/>
        <v>0.24649532710280386</v>
      </c>
      <c r="L10" s="42">
        <f t="shared" si="1"/>
        <v>0.11152764761012168</v>
      </c>
      <c r="M10" s="42">
        <f t="shared" si="1"/>
        <v>4.0472175379426822E-2</v>
      </c>
    </row>
    <row r="11" spans="1:13" ht="18" customHeight="1">
      <c r="A11" s="40" t="s">
        <v>206</v>
      </c>
      <c r="B11" s="24" t="s">
        <v>178</v>
      </c>
      <c r="C11" s="42"/>
      <c r="D11" s="42">
        <f t="shared" ref="D11:M11" si="2">IFERROR(D87/C87-1,"")</f>
        <v>0.27434041559654454</v>
      </c>
      <c r="E11" s="42">
        <f t="shared" si="2"/>
        <v>0.163429827775742</v>
      </c>
      <c r="F11" s="42">
        <f t="shared" si="2"/>
        <v>0.27559055118110232</v>
      </c>
      <c r="G11" s="42">
        <f t="shared" si="2"/>
        <v>0.18765432098765444</v>
      </c>
      <c r="H11" s="42">
        <f t="shared" si="2"/>
        <v>-0.5280665280665281</v>
      </c>
      <c r="I11" s="42">
        <f t="shared" si="2"/>
        <v>0.55066079295154213</v>
      </c>
      <c r="J11" s="42">
        <f t="shared" si="2"/>
        <v>0.625</v>
      </c>
      <c r="K11" s="42">
        <f t="shared" si="2"/>
        <v>0.21765734265734271</v>
      </c>
      <c r="L11" s="42">
        <f t="shared" si="2"/>
        <v>0.13065326633165819</v>
      </c>
      <c r="M11" s="42">
        <f t="shared" si="2"/>
        <v>9.4603174603174578E-2</v>
      </c>
    </row>
    <row r="12" spans="1:13" ht="18" customHeight="1">
      <c r="A12" s="40" t="s">
        <v>207</v>
      </c>
      <c r="B12" s="24" t="s">
        <v>178</v>
      </c>
      <c r="C12" s="42"/>
      <c r="D12" s="42">
        <f t="shared" ref="D12:M12" si="3">IFERROR(D88/C88-1,"")</f>
        <v>0.28690575479566305</v>
      </c>
      <c r="E12" s="42">
        <f t="shared" si="3"/>
        <v>0.19896305897602073</v>
      </c>
      <c r="F12" s="42">
        <f t="shared" si="3"/>
        <v>0.25765765765765769</v>
      </c>
      <c r="G12" s="42">
        <f t="shared" si="3"/>
        <v>0.18194842406876788</v>
      </c>
      <c r="H12" s="42">
        <f t="shared" si="3"/>
        <v>-0.61818181818181817</v>
      </c>
      <c r="I12" s="42">
        <f t="shared" si="3"/>
        <v>0.64444444444444438</v>
      </c>
      <c r="J12" s="42">
        <f t="shared" si="3"/>
        <v>0.812741312741313</v>
      </c>
      <c r="K12" s="42">
        <f t="shared" si="3"/>
        <v>0.27476038338658149</v>
      </c>
      <c r="L12" s="42">
        <f t="shared" si="3"/>
        <v>0.13116123642439437</v>
      </c>
      <c r="M12" s="42">
        <f t="shared" si="3"/>
        <v>7.4593796159527326E-2</v>
      </c>
    </row>
    <row r="13" spans="1:13" ht="18" customHeight="1">
      <c r="A13" s="40" t="s">
        <v>208</v>
      </c>
      <c r="B13" s="24" t="s">
        <v>178</v>
      </c>
      <c r="C13" s="42"/>
      <c r="D13" s="42">
        <f t="shared" ref="D13:M13" si="4">IFERROR(D90/C90-1,"")</f>
        <v>0.22429906542056077</v>
      </c>
      <c r="E13" s="42">
        <f t="shared" si="4"/>
        <v>0.21374045801526709</v>
      </c>
      <c r="F13" s="42">
        <f t="shared" si="4"/>
        <v>0.3647798742138364</v>
      </c>
      <c r="G13" s="42">
        <f t="shared" si="4"/>
        <v>0.20737327188940102</v>
      </c>
      <c r="H13" s="42">
        <f t="shared" si="4"/>
        <v>8.7786259541984712E-2</v>
      </c>
      <c r="I13" s="42">
        <f t="shared" si="4"/>
        <v>-3.5087719298245612E-2</v>
      </c>
      <c r="J13" s="42">
        <f t="shared" si="4"/>
        <v>0.10545454545454547</v>
      </c>
      <c r="K13" s="42">
        <f t="shared" si="4"/>
        <v>0.20723684210526305</v>
      </c>
      <c r="L13" s="42">
        <f t="shared" si="4"/>
        <v>0.18256130790190728</v>
      </c>
      <c r="M13" s="42">
        <f t="shared" si="4"/>
        <v>1.6129032258064502E-2</v>
      </c>
    </row>
    <row r="14" spans="1:13" ht="18" customHeight="1">
      <c r="A14" s="40" t="s">
        <v>209</v>
      </c>
      <c r="B14" s="24" t="s">
        <v>178</v>
      </c>
      <c r="C14" s="42"/>
      <c r="D14" s="42">
        <f t="shared" ref="D14:M14" si="5">IFERROR(D91/C91-1,"")</f>
        <v>0.19999999999999996</v>
      </c>
      <c r="E14" s="42">
        <f t="shared" si="5"/>
        <v>0.33333333333333326</v>
      </c>
      <c r="F14" s="42">
        <f t="shared" si="5"/>
        <v>1</v>
      </c>
      <c r="G14" s="42">
        <f t="shared" si="5"/>
        <v>0.5</v>
      </c>
      <c r="H14" s="42">
        <f t="shared" si="5"/>
        <v>-0.58333333333333326</v>
      </c>
      <c r="I14" s="42">
        <f t="shared" si="5"/>
        <v>0.5</v>
      </c>
      <c r="J14" s="42">
        <f t="shared" si="5"/>
        <v>0.46666666666666656</v>
      </c>
      <c r="K14" s="42">
        <f t="shared" si="5"/>
        <v>0.36363636363636354</v>
      </c>
      <c r="L14" s="42">
        <f t="shared" si="5"/>
        <v>0.33333333333333326</v>
      </c>
      <c r="M14" s="42">
        <f t="shared" si="5"/>
        <v>0.125</v>
      </c>
    </row>
    <row r="15" spans="1:13" ht="18" customHeight="1">
      <c r="A15" s="40" t="s">
        <v>210</v>
      </c>
      <c r="B15" s="24" t="s">
        <v>178</v>
      </c>
      <c r="C15" s="42"/>
      <c r="D15" s="42">
        <f t="shared" ref="D15:M15" si="6">IFERROR(D92/C92-1,"")</f>
        <v>0.22571819425444595</v>
      </c>
      <c r="E15" s="42">
        <f t="shared" si="6"/>
        <v>0.2120535714285714</v>
      </c>
      <c r="F15" s="42">
        <f t="shared" si="6"/>
        <v>0.26703499079189696</v>
      </c>
      <c r="G15" s="42">
        <f t="shared" si="6"/>
        <v>0.21656976744186052</v>
      </c>
      <c r="H15" s="42">
        <f t="shared" si="6"/>
        <v>-0.22281959378733573</v>
      </c>
      <c r="I15" s="42">
        <f t="shared" si="6"/>
        <v>0.21214450422751741</v>
      </c>
      <c r="J15" s="42">
        <f t="shared" si="6"/>
        <v>0.1509194673430565</v>
      </c>
      <c r="K15" s="42">
        <f t="shared" si="6"/>
        <v>0.11349862258953158</v>
      </c>
      <c r="L15" s="42">
        <f t="shared" si="6"/>
        <v>0.140029688273132</v>
      </c>
      <c r="M15" s="42">
        <f t="shared" si="6"/>
        <v>-2.734375E-2</v>
      </c>
    </row>
    <row r="16" spans="1:13" ht="18" customHeight="1">
      <c r="A16" s="24"/>
      <c r="B16" s="24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</row>
    <row r="17" spans="1:13" ht="20" customHeight="1">
      <c r="A17" s="38" t="s">
        <v>211</v>
      </c>
      <c r="B17" s="38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</row>
    <row r="18" spans="1:13" ht="18" customHeight="1">
      <c r="A18" s="40" t="s">
        <v>177</v>
      </c>
      <c r="B18" s="24" t="s">
        <v>178</v>
      </c>
      <c r="C18" s="42">
        <f t="shared" ref="C18:M18" si="7">C93</f>
        <v>0.83983189353257059</v>
      </c>
      <c r="D18" s="42">
        <f t="shared" si="7"/>
        <v>0.84811286185415902</v>
      </c>
      <c r="E18" s="42">
        <f t="shared" si="7"/>
        <v>0.87401574803149606</v>
      </c>
      <c r="F18" s="42">
        <f t="shared" si="7"/>
        <v>0.86172839506172838</v>
      </c>
      <c r="G18" s="42">
        <f t="shared" si="7"/>
        <v>0.85758835758835761</v>
      </c>
      <c r="H18" s="42">
        <f t="shared" si="7"/>
        <v>0.69383259911894279</v>
      </c>
      <c r="I18" s="42">
        <f t="shared" si="7"/>
        <v>0.73579545454545447</v>
      </c>
      <c r="J18" s="42">
        <f t="shared" si="7"/>
        <v>0.82080419580419584</v>
      </c>
      <c r="K18" s="42">
        <f t="shared" si="7"/>
        <v>0.85929648241206025</v>
      </c>
      <c r="L18" s="42">
        <f t="shared" si="7"/>
        <v>0.85968253968253971</v>
      </c>
      <c r="M18" s="42">
        <f t="shared" si="7"/>
        <v>0.84396751740139209</v>
      </c>
    </row>
    <row r="19" spans="1:13" ht="18" customHeight="1">
      <c r="A19" s="40" t="s">
        <v>182</v>
      </c>
      <c r="B19" s="24" t="s">
        <v>183</v>
      </c>
      <c r="C19" s="43">
        <f t="shared" ref="C19:M19" si="8">C94</f>
        <v>3.91</v>
      </c>
      <c r="D19" s="43">
        <f t="shared" si="8"/>
        <v>3.5</v>
      </c>
      <c r="E19" s="43">
        <f t="shared" si="8"/>
        <v>3.59</v>
      </c>
      <c r="F19" s="43">
        <f t="shared" si="8"/>
        <v>3.6</v>
      </c>
      <c r="G19" s="43">
        <f t="shared" si="8"/>
        <v>3.81</v>
      </c>
      <c r="H19" s="43">
        <f t="shared" si="8"/>
        <v>3.76</v>
      </c>
      <c r="I19" s="43">
        <f t="shared" si="8"/>
        <v>4.24</v>
      </c>
      <c r="J19" s="43">
        <f t="shared" si="8"/>
        <v>5.13</v>
      </c>
      <c r="K19" s="43">
        <f t="shared" si="8"/>
        <v>5.08</v>
      </c>
      <c r="L19" s="43">
        <f t="shared" si="8"/>
        <v>5.15</v>
      </c>
      <c r="M19" s="43">
        <f t="shared" si="8"/>
        <v>5.0599999999999996</v>
      </c>
    </row>
    <row r="20" spans="1:13" ht="18" customHeight="1">
      <c r="A20" s="40" t="s">
        <v>212</v>
      </c>
      <c r="B20" s="24" t="s">
        <v>185</v>
      </c>
      <c r="C20" s="43">
        <f t="shared" ref="C20:M20" si="9">C95</f>
        <v>3.78</v>
      </c>
      <c r="D20" s="43">
        <f t="shared" si="9"/>
        <v>3.44</v>
      </c>
      <c r="E20" s="43">
        <f t="shared" si="9"/>
        <v>3.64</v>
      </c>
      <c r="F20" s="43">
        <f t="shared" si="9"/>
        <v>3.57</v>
      </c>
      <c r="G20" s="43">
        <f t="shared" si="9"/>
        <v>3.77</v>
      </c>
      <c r="H20" s="43">
        <f t="shared" si="9"/>
        <v>3.3</v>
      </c>
      <c r="I20" s="43">
        <f t="shared" si="9"/>
        <v>3.73</v>
      </c>
      <c r="J20" s="43">
        <f t="shared" si="9"/>
        <v>4.8</v>
      </c>
      <c r="K20" s="43">
        <f t="shared" si="9"/>
        <v>4.96</v>
      </c>
      <c r="L20" s="43">
        <f t="shared" si="9"/>
        <v>5.14</v>
      </c>
      <c r="M20" s="43">
        <f t="shared" si="9"/>
        <v>4.99</v>
      </c>
    </row>
    <row r="21" spans="1:13" ht="18" customHeight="1">
      <c r="A21" s="40" t="s">
        <v>213</v>
      </c>
      <c r="B21" s="24" t="s">
        <v>185</v>
      </c>
      <c r="C21" s="43">
        <f t="shared" ref="C21:M21" si="10">C96</f>
        <v>3.12</v>
      </c>
      <c r="D21" s="43">
        <f t="shared" si="10"/>
        <v>3.04</v>
      </c>
      <c r="E21" s="43">
        <f t="shared" si="10"/>
        <v>3.15</v>
      </c>
      <c r="F21" s="43">
        <f t="shared" si="10"/>
        <v>3.59</v>
      </c>
      <c r="G21" s="43">
        <f t="shared" si="10"/>
        <v>3.8</v>
      </c>
      <c r="H21" s="43">
        <f t="shared" si="10"/>
        <v>4.58</v>
      </c>
      <c r="I21" s="43">
        <f t="shared" si="10"/>
        <v>4.5999999999999996</v>
      </c>
      <c r="J21" s="43">
        <f t="shared" si="10"/>
        <v>4.83</v>
      </c>
      <c r="K21" s="43">
        <f t="shared" si="10"/>
        <v>4.38</v>
      </c>
      <c r="L21" s="43">
        <f t="shared" si="10"/>
        <v>4.66</v>
      </c>
      <c r="M21" s="43">
        <f t="shared" si="10"/>
        <v>5</v>
      </c>
    </row>
    <row r="22" spans="1:13" ht="18" customHeight="1">
      <c r="A22" s="40" t="s">
        <v>214</v>
      </c>
      <c r="B22" s="24" t="s">
        <v>185</v>
      </c>
      <c r="C22" s="43">
        <f t="shared" ref="C22:M22" si="11">C97</f>
        <v>2.0099999999999998</v>
      </c>
      <c r="D22" s="43">
        <f t="shared" si="11"/>
        <v>1.88</v>
      </c>
      <c r="E22" s="43">
        <f t="shared" si="11"/>
        <v>1.93</v>
      </c>
      <c r="F22" s="43">
        <f t="shared" si="11"/>
        <v>2.11</v>
      </c>
      <c r="G22" s="43">
        <f t="shared" si="11"/>
        <v>2.5</v>
      </c>
      <c r="H22" s="43">
        <f t="shared" si="11"/>
        <v>3.74</v>
      </c>
      <c r="I22" s="43">
        <f t="shared" si="11"/>
        <v>3.22</v>
      </c>
      <c r="J22" s="43">
        <f t="shared" si="11"/>
        <v>2.76</v>
      </c>
      <c r="K22" s="43">
        <f t="shared" si="11"/>
        <v>2.66</v>
      </c>
      <c r="L22" s="43">
        <f t="shared" si="11"/>
        <v>3</v>
      </c>
      <c r="M22" s="43">
        <f t="shared" si="11"/>
        <v>3.52</v>
      </c>
    </row>
    <row r="23" spans="1:13" ht="18" customHeight="1">
      <c r="A23" s="40" t="s">
        <v>215</v>
      </c>
      <c r="B23" s="24" t="s">
        <v>185</v>
      </c>
      <c r="C23" s="43">
        <f t="shared" ref="C23:M23" si="12">IFERROR(C58/C87/100,"")</f>
        <v>3.7683653980854541</v>
      </c>
      <c r="D23" s="43">
        <f t="shared" si="12"/>
        <v>3.4042689629901064</v>
      </c>
      <c r="E23" s="43">
        <f t="shared" si="12"/>
        <v>3.6253365354330707</v>
      </c>
      <c r="F23" s="43">
        <f t="shared" si="12"/>
        <v>3.5181199999999997</v>
      </c>
      <c r="G23" s="43">
        <f t="shared" si="12"/>
        <v>3.7168400207900207</v>
      </c>
      <c r="H23" s="43">
        <f t="shared" si="12"/>
        <v>3.2248085903083701</v>
      </c>
      <c r="I23" s="43">
        <f t="shared" si="12"/>
        <v>3.6833703124999992</v>
      </c>
      <c r="J23" s="43">
        <f t="shared" si="12"/>
        <v>4.7593053321678322</v>
      </c>
      <c r="K23" s="43">
        <f t="shared" si="12"/>
        <v>4.9464710696338834</v>
      </c>
      <c r="L23" s="43">
        <f t="shared" si="12"/>
        <v>5.1303428571428569</v>
      </c>
      <c r="M23" s="43">
        <f t="shared" si="12"/>
        <v>4.92818445475638</v>
      </c>
    </row>
    <row r="24" spans="1:13" ht="18" customHeight="1">
      <c r="A24" s="40" t="s">
        <v>216</v>
      </c>
      <c r="B24" s="24" t="s">
        <v>185</v>
      </c>
      <c r="C24" s="43">
        <f t="shared" ref="C24:M24" si="13">IFERROR(C59/C87/100,"")</f>
        <v>1.1158823254727994</v>
      </c>
      <c r="D24" s="43">
        <f t="shared" si="13"/>
        <v>1.1618748625870281</v>
      </c>
      <c r="E24" s="43">
        <f t="shared" si="13"/>
        <v>1.2220686614173228</v>
      </c>
      <c r="F24" s="43">
        <f t="shared" si="13"/>
        <v>1.4744188888888887</v>
      </c>
      <c r="G24" s="43">
        <f t="shared" si="13"/>
        <v>1.2945731808731806</v>
      </c>
      <c r="H24" s="43">
        <f t="shared" si="13"/>
        <v>0.84389361233480176</v>
      </c>
      <c r="I24" s="43">
        <f t="shared" si="13"/>
        <v>1.3771642045454544</v>
      </c>
      <c r="J24" s="43">
        <f t="shared" si="13"/>
        <v>2.0669595279720276</v>
      </c>
      <c r="K24" s="43">
        <f t="shared" si="13"/>
        <v>1.7160501076812633</v>
      </c>
      <c r="L24" s="43">
        <f t="shared" si="13"/>
        <v>1.6633206349206349</v>
      </c>
      <c r="M24" s="43">
        <f t="shared" si="13"/>
        <v>1.4726914153132251</v>
      </c>
    </row>
    <row r="25" spans="1:13" ht="18" customHeight="1">
      <c r="A25" s="40" t="s">
        <v>217</v>
      </c>
      <c r="B25" s="24" t="s">
        <v>185</v>
      </c>
      <c r="C25" s="43">
        <f t="shared" ref="C25:M25" si="14">IFERROR(C60/C87/100,"")</f>
        <v>0.41791337847303295</v>
      </c>
      <c r="D25" s="43">
        <f t="shared" si="14"/>
        <v>0.37526383290582638</v>
      </c>
      <c r="E25" s="43">
        <f t="shared" si="14"/>
        <v>0.38661763779527564</v>
      </c>
      <c r="F25" s="43">
        <f t="shared" si="14"/>
        <v>0.39636506172839503</v>
      </c>
      <c r="G25" s="43">
        <f t="shared" si="14"/>
        <v>0.4896007276507276</v>
      </c>
      <c r="H25" s="43">
        <f t="shared" si="14"/>
        <v>0.72587929515418492</v>
      </c>
      <c r="I25" s="43">
        <f t="shared" si="14"/>
        <v>0.49523338068181816</v>
      </c>
      <c r="J25" s="43">
        <f t="shared" si="14"/>
        <v>0.41912167832167824</v>
      </c>
      <c r="K25" s="43">
        <f t="shared" si="14"/>
        <v>0.46388054558506814</v>
      </c>
      <c r="L25" s="43">
        <f t="shared" si="14"/>
        <v>0.47444444444444445</v>
      </c>
      <c r="M25" s="43">
        <f t="shared" si="14"/>
        <v>0.47982598607888632</v>
      </c>
    </row>
    <row r="26" spans="1:13" ht="18" customHeight="1">
      <c r="A26" s="40" t="s">
        <v>218</v>
      </c>
      <c r="B26" s="24" t="s">
        <v>185</v>
      </c>
      <c r="C26" s="43" t="str">
        <f t="shared" ref="C26:M26" si="15">IF(C61=0,"",C61/C87/100)</f>
        <v/>
      </c>
      <c r="D26" s="43" t="str">
        <f t="shared" si="15"/>
        <v/>
      </c>
      <c r="E26" s="43" t="str">
        <f t="shared" si="15"/>
        <v/>
      </c>
      <c r="F26" s="43" t="str">
        <f t="shared" si="15"/>
        <v/>
      </c>
      <c r="G26" s="43">
        <f t="shared" si="15"/>
        <v>0.60989989604989603</v>
      </c>
      <c r="H26" s="43">
        <f t="shared" si="15"/>
        <v>0.92318502202643171</v>
      </c>
      <c r="I26" s="43">
        <f t="shared" si="15"/>
        <v>0.86502613636363623</v>
      </c>
      <c r="J26" s="43">
        <f t="shared" si="15"/>
        <v>0.70323076923076921</v>
      </c>
      <c r="K26" s="43">
        <f t="shared" si="15"/>
        <v>0.71296654702081819</v>
      </c>
      <c r="L26" s="43">
        <f t="shared" si="15"/>
        <v>0.7122857142857143</v>
      </c>
      <c r="M26" s="43">
        <f t="shared" si="15"/>
        <v>0.74896171693735492</v>
      </c>
    </row>
    <row r="27" spans="1:13" ht="18" customHeight="1">
      <c r="A27" s="52" t="s">
        <v>219</v>
      </c>
      <c r="B27" s="53" t="s">
        <v>185</v>
      </c>
      <c r="C27" s="54">
        <f t="shared" ref="C27:M27" si="16">IFERROR(C70/C87/100,"")</f>
        <v>1.3332460891898201</v>
      </c>
      <c r="D27" s="54">
        <f t="shared" si="16"/>
        <v>1.0381784536460243</v>
      </c>
      <c r="E27" s="54">
        <f t="shared" si="16"/>
        <v>1.1201122834645669</v>
      </c>
      <c r="F27" s="54">
        <f t="shared" si="16"/>
        <v>0.70200037037037033</v>
      </c>
      <c r="G27" s="54">
        <f t="shared" si="16"/>
        <v>0.6064051975051975</v>
      </c>
      <c r="H27" s="54">
        <f t="shared" si="16"/>
        <v>0.25922643171806176</v>
      </c>
      <c r="I27" s="54">
        <f t="shared" si="16"/>
        <v>0.21549573863636379</v>
      </c>
      <c r="J27" s="54">
        <f t="shared" si="16"/>
        <v>0.69811180069930079</v>
      </c>
      <c r="K27" s="54">
        <f t="shared" si="16"/>
        <v>1.3548551328068916</v>
      </c>
      <c r="L27" s="54">
        <f t="shared" si="16"/>
        <v>1.4756888888888888</v>
      </c>
      <c r="M27" s="54">
        <f t="shared" si="16"/>
        <v>0.90003480278422288</v>
      </c>
    </row>
    <row r="28" spans="1:13" ht="18" customHeight="1">
      <c r="A28" s="41" t="s">
        <v>220</v>
      </c>
      <c r="B28" s="24" t="s">
        <v>185</v>
      </c>
      <c r="C28" s="43">
        <f t="shared" ref="C28:M28" si="17">IFERROR(C69/C87/100,"")</f>
        <v>0.72335769320569698</v>
      </c>
      <c r="D28" s="43">
        <f t="shared" si="17"/>
        <v>0.46555606449248821</v>
      </c>
      <c r="E28" s="43">
        <f t="shared" si="17"/>
        <v>0.55157700787401576</v>
      </c>
      <c r="F28" s="43">
        <f t="shared" si="17"/>
        <v>8.4784444444444454E-2</v>
      </c>
      <c r="G28" s="43">
        <f t="shared" si="17"/>
        <v>0.55477765072765073</v>
      </c>
      <c r="H28" s="43">
        <f t="shared" si="17"/>
        <v>0.19745176211453758</v>
      </c>
      <c r="I28" s="43">
        <f t="shared" si="17"/>
        <v>0.17122244318181834</v>
      </c>
      <c r="J28" s="43">
        <f t="shared" si="17"/>
        <v>0.66962928321678339</v>
      </c>
      <c r="K28" s="43">
        <f t="shared" si="17"/>
        <v>1.2776695620961953</v>
      </c>
      <c r="L28" s="43">
        <f t="shared" si="17"/>
        <v>1.2845587301587305</v>
      </c>
      <c r="M28" s="43">
        <f t="shared" si="17"/>
        <v>0.77911252900232031</v>
      </c>
    </row>
    <row r="29" spans="1:13" ht="18" customHeight="1">
      <c r="A29" s="41" t="s">
        <v>221</v>
      </c>
      <c r="B29" s="24" t="s">
        <v>185</v>
      </c>
      <c r="C29" s="43">
        <f t="shared" ref="C29:M29" si="18">IFERROR(C68/C87/100,"")</f>
        <v>0.60589820219472335</v>
      </c>
      <c r="D29" s="43">
        <f t="shared" si="18"/>
        <v>0.38177940637596203</v>
      </c>
      <c r="E29" s="43">
        <f t="shared" si="18"/>
        <v>0.48277748031496065</v>
      </c>
      <c r="F29" s="43">
        <f t="shared" si="18"/>
        <v>-8.9908641975308522E-3</v>
      </c>
      <c r="G29" s="43">
        <f t="shared" si="18"/>
        <v>0.1416873180873181</v>
      </c>
      <c r="H29" s="43">
        <f t="shared" si="18"/>
        <v>-0.83766850220264299</v>
      </c>
      <c r="I29" s="43">
        <f t="shared" si="18"/>
        <v>-0.54874914772727257</v>
      </c>
      <c r="J29" s="43">
        <f t="shared" si="18"/>
        <v>0.22356555944055947</v>
      </c>
      <c r="K29" s="43">
        <f t="shared" si="18"/>
        <v>0.81638248384781054</v>
      </c>
      <c r="L29" s="43">
        <f t="shared" si="18"/>
        <v>0.73343492063492066</v>
      </c>
      <c r="M29" s="43">
        <f t="shared" si="18"/>
        <v>0.15218677494199537</v>
      </c>
    </row>
    <row r="30" spans="1:13" ht="18" customHeight="1">
      <c r="A30" s="40" t="s">
        <v>222</v>
      </c>
      <c r="B30" s="24" t="s">
        <v>223</v>
      </c>
      <c r="C30" s="44">
        <f t="shared" ref="C30:M30" si="19">IFERROR(C58*10/C89,"")</f>
        <v>4875.5162518124698</v>
      </c>
      <c r="D30" s="44">
        <f t="shared" si="19"/>
        <v>4268.2394560323446</v>
      </c>
      <c r="E30" s="44">
        <f t="shared" si="19"/>
        <v>4415.0372060910586</v>
      </c>
      <c r="F30" s="44">
        <f t="shared" si="19"/>
        <v>4401.5217089106154</v>
      </c>
      <c r="G30" s="44">
        <f t="shared" si="19"/>
        <v>4765.8146509210146</v>
      </c>
      <c r="H30" s="44">
        <f t="shared" si="19"/>
        <v>4768.9351791530944</v>
      </c>
      <c r="I30" s="44">
        <f t="shared" si="19"/>
        <v>5207.0134538152615</v>
      </c>
      <c r="J30" s="44">
        <f t="shared" si="19"/>
        <v>6360.5669392523369</v>
      </c>
      <c r="K30" s="44">
        <f t="shared" si="19"/>
        <v>6457.764011246486</v>
      </c>
      <c r="L30" s="44">
        <f t="shared" si="19"/>
        <v>6813.0607082630695</v>
      </c>
      <c r="M30" s="44">
        <f t="shared" si="19"/>
        <v>6885.0810372771475</v>
      </c>
    </row>
    <row r="31" spans="1:13" ht="18" customHeight="1">
      <c r="A31" s="40" t="s">
        <v>224</v>
      </c>
      <c r="B31" s="24" t="s">
        <v>223</v>
      </c>
      <c r="C31" s="44">
        <f t="shared" ref="C31:M31" si="20">IFERROR(C71*10/C89,"")</f>
        <v>601.05123247945869</v>
      </c>
      <c r="D31" s="44">
        <f t="shared" si="20"/>
        <v>381.13272994578705</v>
      </c>
      <c r="E31" s="44">
        <f t="shared" si="20"/>
        <v>430.04180890644778</v>
      </c>
      <c r="F31" s="44">
        <f t="shared" si="20"/>
        <v>24.287876681648989</v>
      </c>
      <c r="G31" s="44">
        <f t="shared" si="20"/>
        <v>-31.146269293311661</v>
      </c>
      <c r="H31" s="44">
        <f t="shared" si="20"/>
        <v>-1891.3442996742669</v>
      </c>
      <c r="I31" s="44">
        <f t="shared" si="20"/>
        <v>-1237.3182730923695</v>
      </c>
      <c r="J31" s="44">
        <f t="shared" si="20"/>
        <v>-35.723014018691593</v>
      </c>
      <c r="K31" s="44">
        <f t="shared" si="20"/>
        <v>765.92952202436732</v>
      </c>
      <c r="L31" s="44">
        <f t="shared" si="20"/>
        <v>612.00674536256327</v>
      </c>
      <c r="M31" s="44">
        <f t="shared" si="20"/>
        <v>-193.97082658022688</v>
      </c>
    </row>
    <row r="32" spans="1:13" ht="20" customHeight="1">
      <c r="A32" s="38" t="s">
        <v>225</v>
      </c>
      <c r="B32" s="38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</row>
    <row r="33" spans="1:13" ht="18" customHeight="1">
      <c r="A33" s="52" t="s">
        <v>226</v>
      </c>
      <c r="B33" s="53" t="s">
        <v>178</v>
      </c>
      <c r="C33" s="55">
        <f t="shared" ref="C33:M33" si="21">IFERROR(C70/C58,"")</f>
        <v>0.3537995784238932</v>
      </c>
      <c r="D33" s="55">
        <f t="shared" si="21"/>
        <v>0.30496369850111682</v>
      </c>
      <c r="E33" s="55">
        <f t="shared" si="21"/>
        <v>0.30896780823432218</v>
      </c>
      <c r="F33" s="55">
        <f t="shared" si="21"/>
        <v>0.19953849509691834</v>
      </c>
      <c r="G33" s="55">
        <f t="shared" si="21"/>
        <v>0.16315073936819724</v>
      </c>
      <c r="H33" s="55">
        <f t="shared" si="21"/>
        <v>8.0385059906229475E-2</v>
      </c>
      <c r="I33" s="55">
        <f t="shared" si="21"/>
        <v>5.8505043032206341E-2</v>
      </c>
      <c r="J33" s="55">
        <f t="shared" si="21"/>
        <v>0.14668354979891896</v>
      </c>
      <c r="K33" s="55">
        <f t="shared" si="21"/>
        <v>0.27390337752590393</v>
      </c>
      <c r="L33" s="55">
        <f t="shared" si="21"/>
        <v>0.2876394287828779</v>
      </c>
      <c r="M33" s="55">
        <f t="shared" si="21"/>
        <v>0.18263009654915913</v>
      </c>
    </row>
    <row r="34" spans="1:13" ht="18" customHeight="1">
      <c r="A34" s="41" t="s">
        <v>227</v>
      </c>
      <c r="B34" s="24" t="s">
        <v>178</v>
      </c>
      <c r="C34" s="42">
        <f t="shared" ref="C34:M34" si="22">IFERROR(C69/C58,"")</f>
        <v>0.19195529541089731</v>
      </c>
      <c r="D34" s="42">
        <f t="shared" si="22"/>
        <v>0.13675654584106997</v>
      </c>
      <c r="E34" s="42">
        <f t="shared" si="22"/>
        <v>0.15214504984104218</v>
      </c>
      <c r="F34" s="42">
        <f t="shared" si="22"/>
        <v>2.4099361148694324E-2</v>
      </c>
      <c r="G34" s="42">
        <f t="shared" si="22"/>
        <v>0.14926056747788993</v>
      </c>
      <c r="H34" s="42">
        <f t="shared" si="22"/>
        <v>6.1228986646818744E-2</v>
      </c>
      <c r="I34" s="42">
        <f t="shared" si="22"/>
        <v>4.648526448745937E-2</v>
      </c>
      <c r="J34" s="42">
        <f t="shared" si="22"/>
        <v>0.14069895425511009</v>
      </c>
      <c r="K34" s="42">
        <f t="shared" si="22"/>
        <v>0.2582992084881966</v>
      </c>
      <c r="L34" s="42">
        <f t="shared" si="22"/>
        <v>0.25038457778124307</v>
      </c>
      <c r="M34" s="42">
        <f t="shared" si="22"/>
        <v>0.15809321590030356</v>
      </c>
    </row>
    <row r="35" spans="1:13" ht="18" customHeight="1">
      <c r="A35" s="41" t="s">
        <v>228</v>
      </c>
      <c r="B35" s="24" t="s">
        <v>178</v>
      </c>
      <c r="C35" s="42">
        <f t="shared" ref="C35:M35" si="23">IFERROR(C68/C58,"")</f>
        <v>0.16078541706771704</v>
      </c>
      <c r="D35" s="42">
        <f t="shared" si="23"/>
        <v>0.11214725115039964</v>
      </c>
      <c r="E35" s="42">
        <f t="shared" si="23"/>
        <v>0.13316763163817277</v>
      </c>
      <c r="F35" s="42">
        <f t="shared" si="23"/>
        <v>-2.5555876995471596E-3</v>
      </c>
      <c r="G35" s="42">
        <f t="shared" si="23"/>
        <v>3.8120370340072429E-2</v>
      </c>
      <c r="H35" s="42">
        <f t="shared" si="23"/>
        <v>-0.25975758831706092</v>
      </c>
      <c r="I35" s="42">
        <f t="shared" si="23"/>
        <v>-0.14898017336595792</v>
      </c>
      <c r="J35" s="42">
        <f t="shared" si="23"/>
        <v>4.6974409884882683E-2</v>
      </c>
      <c r="K35" s="42">
        <f t="shared" si="23"/>
        <v>0.16504341627701777</v>
      </c>
      <c r="L35" s="42">
        <f t="shared" si="23"/>
        <v>0.14296021553681862</v>
      </c>
      <c r="M35" s="42">
        <f t="shared" si="23"/>
        <v>3.088090073315216E-2</v>
      </c>
    </row>
    <row r="36" spans="1:13" ht="18" customHeight="1">
      <c r="A36" s="41" t="s">
        <v>229</v>
      </c>
      <c r="B36" s="24" t="s">
        <v>178</v>
      </c>
      <c r="C36" s="42">
        <f t="shared" ref="C36:M36" si="24">IFERROR(C71/C58,"")</f>
        <v>0.12327950547924403</v>
      </c>
      <c r="D36" s="42">
        <f t="shared" si="24"/>
        <v>8.9295067409380813E-2</v>
      </c>
      <c r="E36" s="42">
        <f t="shared" si="24"/>
        <v>9.7403892386944094E-2</v>
      </c>
      <c r="F36" s="42">
        <f t="shared" si="24"/>
        <v>5.5180635897988739E-3</v>
      </c>
      <c r="G36" s="42">
        <f t="shared" si="24"/>
        <v>-6.535350527593956E-3</v>
      </c>
      <c r="H36" s="42">
        <f t="shared" si="24"/>
        <v>-0.39659677236589053</v>
      </c>
      <c r="I36" s="42">
        <f t="shared" si="24"/>
        <v>-0.23762532669965866</v>
      </c>
      <c r="J36" s="42">
        <f t="shared" si="24"/>
        <v>-5.6163254564994339E-3</v>
      </c>
      <c r="K36" s="42">
        <f t="shared" si="24"/>
        <v>0.11860599437986068</v>
      </c>
      <c r="L36" s="42">
        <f t="shared" si="24"/>
        <v>8.9828459127085786E-2</v>
      </c>
      <c r="M36" s="42">
        <f t="shared" si="24"/>
        <v>-2.817262796618249E-2</v>
      </c>
    </row>
    <row r="37" spans="1:13" ht="18" customHeight="1">
      <c r="A37" s="40" t="s">
        <v>230</v>
      </c>
      <c r="B37" s="24" t="s">
        <v>178</v>
      </c>
      <c r="C37" s="42"/>
      <c r="D37" s="42">
        <f t="shared" ref="D37:M37" si="25">IF(AVERAGE(C75,D75)&gt;0,D71/AVERAGE(C75,D75),"")</f>
        <v>0.59113240994446747</v>
      </c>
      <c r="E37" s="42">
        <f t="shared" si="25"/>
        <v>0.41308296360964658</v>
      </c>
      <c r="F37" s="42">
        <f t="shared" si="25"/>
        <v>2.2426748883008937E-2</v>
      </c>
      <c r="G37" s="42">
        <f t="shared" si="25"/>
        <v>-3.6444565747148855E-2</v>
      </c>
      <c r="H37" s="42">
        <f t="shared" si="25"/>
        <v>-1.9390956350346702</v>
      </c>
      <c r="I37" s="42" t="str">
        <f t="shared" si="25"/>
        <v/>
      </c>
      <c r="J37" s="42" t="str">
        <f t="shared" si="25"/>
        <v/>
      </c>
      <c r="K37" s="42" t="str">
        <f t="shared" si="25"/>
        <v/>
      </c>
      <c r="L37" s="42">
        <f t="shared" si="25"/>
        <v>1.2773664822582902</v>
      </c>
      <c r="M37" s="42">
        <f t="shared" si="25"/>
        <v>-0.29269485680745433</v>
      </c>
    </row>
    <row r="38" spans="1:13" ht="18" customHeight="1">
      <c r="A38" s="40"/>
      <c r="B38" s="24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</row>
    <row r="39" spans="1:13" ht="18" customHeight="1">
      <c r="A39" s="40" t="s">
        <v>231</v>
      </c>
      <c r="B39" s="24" t="s">
        <v>232</v>
      </c>
      <c r="C39" s="45"/>
      <c r="D39" s="45">
        <f t="shared" ref="D39:M39" si="26">IFERROR(D58/AVERAGE(C74,D74),"")</f>
        <v>1.3164193351574012</v>
      </c>
      <c r="E39" s="45">
        <f t="shared" si="26"/>
        <v>1.2670060666448129</v>
      </c>
      <c r="F39" s="45">
        <f t="shared" si="26"/>
        <v>1.234798804007389</v>
      </c>
      <c r="G39" s="45">
        <f t="shared" si="26"/>
        <v>1.06530936754781</v>
      </c>
      <c r="H39" s="45">
        <f t="shared" si="26"/>
        <v>0.34386958105654331</v>
      </c>
      <c r="I39" s="45">
        <f t="shared" si="26"/>
        <v>0.58262744146126377</v>
      </c>
      <c r="J39" s="45">
        <f t="shared" si="26"/>
        <v>1.0357690720646135</v>
      </c>
      <c r="K39" s="45">
        <f t="shared" si="26"/>
        <v>0.97464076637412123</v>
      </c>
      <c r="L39" s="45">
        <f t="shared" si="26"/>
        <v>0.81591062730738595</v>
      </c>
      <c r="M39" s="45">
        <f t="shared" si="26"/>
        <v>0.67471418996400967</v>
      </c>
    </row>
    <row r="40" spans="1:13" ht="18" customHeight="1">
      <c r="A40" s="40" t="s">
        <v>233</v>
      </c>
      <c r="B40" s="24" t="s">
        <v>178</v>
      </c>
      <c r="C40" s="42">
        <f t="shared" ref="C40:M40" si="27">IF(C66&gt;0,C67/C66,"")</f>
        <v>0.29665777055091108</v>
      </c>
      <c r="D40" s="42">
        <f t="shared" si="27"/>
        <v>0.22625202921794021</v>
      </c>
      <c r="E40" s="42">
        <f t="shared" si="27"/>
        <v>0.28282970754106584</v>
      </c>
      <c r="F40" s="42" t="str">
        <f t="shared" si="27"/>
        <v/>
      </c>
      <c r="G40" s="42" t="str">
        <f t="shared" si="27"/>
        <v/>
      </c>
      <c r="H40" s="42" t="str">
        <f t="shared" si="27"/>
        <v/>
      </c>
      <c r="I40" s="42" t="str">
        <f t="shared" si="27"/>
        <v/>
      </c>
      <c r="J40" s="42" t="str">
        <f t="shared" si="27"/>
        <v/>
      </c>
      <c r="K40" s="42">
        <f t="shared" si="27"/>
        <v>-1.5300568036337035E-2</v>
      </c>
      <c r="L40" s="42">
        <f t="shared" si="27"/>
        <v>4.4117259725551139E-2</v>
      </c>
      <c r="M40" s="42" t="str">
        <f t="shared" si="27"/>
        <v/>
      </c>
    </row>
    <row r="41" spans="1:13" ht="18" customHeight="1">
      <c r="A41" s="24"/>
      <c r="B41" s="24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</row>
    <row r="42" spans="1:13" ht="20" customHeight="1">
      <c r="A42" s="38" t="s">
        <v>234</v>
      </c>
      <c r="B42" s="38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</row>
    <row r="43" spans="1:13" ht="18" customHeight="1">
      <c r="A43" s="40"/>
      <c r="B43" s="24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</row>
    <row r="44" spans="1:13" ht="18" customHeight="1">
      <c r="A44" s="40" t="s">
        <v>235</v>
      </c>
      <c r="B44" s="24" t="s">
        <v>232</v>
      </c>
      <c r="C44" s="45">
        <f t="shared" ref="C44:M44" si="28">IFERROR(C72/C69,"")</f>
        <v>1.0003014711079967</v>
      </c>
      <c r="D44" s="45">
        <f t="shared" si="28"/>
        <v>1.488415016892922</v>
      </c>
      <c r="E44" s="45">
        <f t="shared" si="28"/>
        <v>1.1143664236602622</v>
      </c>
      <c r="F44" s="45">
        <f t="shared" si="28"/>
        <v>4.6239861726324119</v>
      </c>
      <c r="G44" s="45">
        <f t="shared" si="28"/>
        <v>1.306320582069084</v>
      </c>
      <c r="H44" s="45">
        <f t="shared" si="28"/>
        <v>-1.8006450022366463</v>
      </c>
      <c r="I44" s="45">
        <f t="shared" si="28"/>
        <v>1.7343351534669627</v>
      </c>
      <c r="J44" s="45">
        <f t="shared" si="28"/>
        <v>1.6614895858122101</v>
      </c>
      <c r="K44" s="45">
        <f t="shared" si="28"/>
        <v>1.1921367628169488</v>
      </c>
      <c r="L44" s="45">
        <f t="shared" si="28"/>
        <v>1.1937296730888995</v>
      </c>
      <c r="M44" s="45">
        <f t="shared" si="28"/>
        <v>1.7473253970026579</v>
      </c>
    </row>
    <row r="45" spans="1:13" ht="18" customHeight="1">
      <c r="A45" s="40" t="s">
        <v>236</v>
      </c>
      <c r="B45" s="24" t="s">
        <v>178</v>
      </c>
      <c r="C45" s="42">
        <f t="shared" ref="C45:M45" si="29">IFERROR(C73/C58,"")</f>
        <v>0.17763947739730132</v>
      </c>
      <c r="D45" s="42">
        <f t="shared" si="29"/>
        <v>0.19078237937622777</v>
      </c>
      <c r="E45" s="42">
        <f t="shared" si="29"/>
        <v>0.11654064415502322</v>
      </c>
      <c r="F45" s="42">
        <f t="shared" si="29"/>
        <v>5.1373502935700942E-2</v>
      </c>
      <c r="G45" s="42">
        <f t="shared" si="29"/>
        <v>0.16454513467543533</v>
      </c>
      <c r="H45" s="42">
        <f t="shared" si="29"/>
        <v>-0.14009239082659758</v>
      </c>
      <c r="I45" s="42">
        <f t="shared" si="29"/>
        <v>6.7243913030953353E-2</v>
      </c>
      <c r="J45" s="42">
        <f t="shared" si="29"/>
        <v>0.22330444556232157</v>
      </c>
      <c r="K45" s="42">
        <f t="shared" si="29"/>
        <v>0.29192543482963668</v>
      </c>
      <c r="L45" s="42">
        <f t="shared" si="29"/>
        <v>0.2790308268638873</v>
      </c>
      <c r="M45" s="42">
        <f t="shared" si="29"/>
        <v>0.24950124702955093</v>
      </c>
    </row>
    <row r="46" spans="1:13" ht="18" customHeight="1">
      <c r="A46" s="40"/>
      <c r="B46" s="24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</row>
    <row r="47" spans="1:13" ht="18" customHeight="1">
      <c r="A47" s="24"/>
      <c r="B47" s="24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</row>
    <row r="48" spans="1:13" ht="20" customHeight="1">
      <c r="A48" s="38" t="s">
        <v>237</v>
      </c>
      <c r="B48" s="38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</row>
    <row r="49" spans="1:13" ht="18" customHeight="1">
      <c r="A49" s="40" t="s">
        <v>238</v>
      </c>
      <c r="B49" s="24" t="s">
        <v>26</v>
      </c>
      <c r="C49" s="46">
        <f t="shared" ref="C49:M49" si="30">C80</f>
        <v>2949.8609999999999</v>
      </c>
      <c r="D49" s="46">
        <f t="shared" si="30"/>
        <v>2395.7080000000001</v>
      </c>
      <c r="E49" s="46">
        <f t="shared" si="30"/>
        <v>2241.37</v>
      </c>
      <c r="F49" s="46">
        <f t="shared" si="30"/>
        <v>2193.6689999999999</v>
      </c>
      <c r="G49" s="46">
        <f t="shared" si="30"/>
        <v>346.58699999999999</v>
      </c>
      <c r="H49" s="46">
        <f t="shared" si="30"/>
        <v>2505.623</v>
      </c>
      <c r="I49" s="46">
        <f t="shared" si="30"/>
        <v>3896.7359999999999</v>
      </c>
      <c r="J49" s="46">
        <f t="shared" si="30"/>
        <v>2252.337</v>
      </c>
      <c r="K49" s="46">
        <f t="shared" si="30"/>
        <v>1891.7070000000001</v>
      </c>
      <c r="L49" s="46">
        <f t="shared" si="30"/>
        <v>1800</v>
      </c>
      <c r="M49" s="46">
        <f t="shared" si="30"/>
        <v>1806.3</v>
      </c>
    </row>
    <row r="50" spans="1:13" ht="18" customHeight="1">
      <c r="A50" s="40" t="s">
        <v>239</v>
      </c>
      <c r="B50" s="24" t="s">
        <v>26</v>
      </c>
      <c r="C50" s="46">
        <f t="shared" ref="C50:M50" si="31">C81</f>
        <v>0</v>
      </c>
      <c r="D50" s="46">
        <f t="shared" si="31"/>
        <v>0</v>
      </c>
      <c r="E50" s="46">
        <f t="shared" si="31"/>
        <v>0</v>
      </c>
      <c r="F50" s="46">
        <f t="shared" si="31"/>
        <v>0</v>
      </c>
      <c r="G50" s="46">
        <f t="shared" si="31"/>
        <v>22033.527999999998</v>
      </c>
      <c r="H50" s="46">
        <f t="shared" si="31"/>
        <v>27354.030999999999</v>
      </c>
      <c r="I50" s="46">
        <f t="shared" si="31"/>
        <v>32981.101000000002</v>
      </c>
      <c r="J50" s="46">
        <f t="shared" si="31"/>
        <v>42601.876000000004</v>
      </c>
      <c r="K50" s="46">
        <f t="shared" si="31"/>
        <v>49388.313000000002</v>
      </c>
      <c r="L50" s="46">
        <f t="shared" si="31"/>
        <v>65009.8</v>
      </c>
      <c r="M50" s="46">
        <f t="shared" si="31"/>
        <v>75942.899999999994</v>
      </c>
    </row>
    <row r="51" spans="1:13" ht="18" customHeight="1">
      <c r="A51" s="40" t="s">
        <v>240</v>
      </c>
      <c r="B51" s="24" t="s">
        <v>26</v>
      </c>
      <c r="C51" s="46">
        <f t="shared" ref="C51:M51" si="32">C82</f>
        <v>4692.8149999999996</v>
      </c>
      <c r="D51" s="46">
        <f t="shared" si="32"/>
        <v>8345.973</v>
      </c>
      <c r="E51" s="46">
        <f t="shared" si="32"/>
        <v>12924.619999999999</v>
      </c>
      <c r="F51" s="46">
        <f t="shared" si="32"/>
        <v>15138.581999999999</v>
      </c>
      <c r="G51" s="46">
        <f t="shared" si="32"/>
        <v>20371.672000000002</v>
      </c>
      <c r="H51" s="46">
        <f t="shared" si="32"/>
        <v>18567.153999999999</v>
      </c>
      <c r="I51" s="46">
        <f t="shared" si="32"/>
        <v>18226.624999999996</v>
      </c>
      <c r="J51" s="46">
        <f t="shared" si="32"/>
        <v>23397.781999999999</v>
      </c>
      <c r="K51" s="46">
        <f t="shared" si="32"/>
        <v>33266.568999999996</v>
      </c>
      <c r="L51" s="46">
        <f t="shared" si="32"/>
        <v>45056</v>
      </c>
      <c r="M51" s="46">
        <f t="shared" si="32"/>
        <v>51674.100000000006</v>
      </c>
    </row>
    <row r="52" spans="1:13" ht="18" customHeight="1">
      <c r="A52" s="52" t="s">
        <v>241</v>
      </c>
      <c r="B52" s="53" t="s">
        <v>26</v>
      </c>
      <c r="C52" s="56">
        <f t="shared" ref="C52:M52" si="33">C83</f>
        <v>-1742.9539999999997</v>
      </c>
      <c r="D52" s="56">
        <f t="shared" si="33"/>
        <v>-5950.2649999999994</v>
      </c>
      <c r="E52" s="56">
        <f t="shared" si="33"/>
        <v>-10683.25</v>
      </c>
      <c r="F52" s="56">
        <f t="shared" si="33"/>
        <v>-12944.912999999999</v>
      </c>
      <c r="G52" s="56">
        <f t="shared" si="33"/>
        <v>-20025.085000000003</v>
      </c>
      <c r="H52" s="56">
        <f t="shared" si="33"/>
        <v>-16061.530999999999</v>
      </c>
      <c r="I52" s="56">
        <f t="shared" si="33"/>
        <v>-14329.888999999996</v>
      </c>
      <c r="J52" s="56">
        <f t="shared" si="33"/>
        <v>-21145.445</v>
      </c>
      <c r="K52" s="56">
        <f t="shared" si="33"/>
        <v>-31374.861999999997</v>
      </c>
      <c r="L52" s="56">
        <f t="shared" si="33"/>
        <v>-43256</v>
      </c>
      <c r="M52" s="56">
        <f t="shared" si="33"/>
        <v>-49867.8</v>
      </c>
    </row>
    <row r="53" spans="1:13" ht="18" customHeight="1">
      <c r="A53" s="41" t="s">
        <v>242</v>
      </c>
      <c r="B53" s="24" t="s">
        <v>26</v>
      </c>
      <c r="C53" s="46">
        <f t="shared" ref="C53:M53" si="34">C84</f>
        <v>-1742.9539999999997</v>
      </c>
      <c r="D53" s="46">
        <f t="shared" si="34"/>
        <v>-5950.2649999999994</v>
      </c>
      <c r="E53" s="46">
        <f t="shared" si="34"/>
        <v>-10683.25</v>
      </c>
      <c r="F53" s="46">
        <f t="shared" si="34"/>
        <v>-12944.912999999999</v>
      </c>
      <c r="G53" s="46">
        <f t="shared" si="34"/>
        <v>2008.4429999999957</v>
      </c>
      <c r="H53" s="46">
        <f t="shared" si="34"/>
        <v>11292.5</v>
      </c>
      <c r="I53" s="46">
        <f t="shared" si="34"/>
        <v>18651.212000000007</v>
      </c>
      <c r="J53" s="46">
        <f t="shared" si="34"/>
        <v>21456.431000000004</v>
      </c>
      <c r="K53" s="46">
        <f t="shared" si="34"/>
        <v>18013.451000000005</v>
      </c>
      <c r="L53" s="46">
        <f t="shared" si="34"/>
        <v>21753.800000000003</v>
      </c>
      <c r="M53" s="46">
        <f t="shared" si="34"/>
        <v>26075.099999999991</v>
      </c>
    </row>
    <row r="54" spans="1:13" ht="18" customHeight="1">
      <c r="A54" s="41" t="s">
        <v>243</v>
      </c>
      <c r="B54" s="24" t="s">
        <v>232</v>
      </c>
      <c r="C54" s="45">
        <f t="shared" ref="C54:M54" si="35">IF(C70&gt;0,C84/C70,"")</f>
        <v>-0.30523022198685773</v>
      </c>
      <c r="D54" s="45">
        <f t="shared" si="35"/>
        <v>-1.0501002580484391</v>
      </c>
      <c r="E54" s="45">
        <f t="shared" si="35"/>
        <v>-1.5019936837040944</v>
      </c>
      <c r="F54" s="45">
        <f t="shared" si="35"/>
        <v>-2.2765478123099014</v>
      </c>
      <c r="G54" s="45">
        <f t="shared" si="35"/>
        <v>0.34428771304531691</v>
      </c>
      <c r="H54" s="45">
        <f t="shared" si="35"/>
        <v>9.5952206157255375</v>
      </c>
      <c r="I54" s="45">
        <f t="shared" si="35"/>
        <v>12.294070885708818</v>
      </c>
      <c r="J54" s="45">
        <f t="shared" si="35"/>
        <v>2.6866214673221309</v>
      </c>
      <c r="K54" s="45">
        <f t="shared" si="35"/>
        <v>0.95444947876165986</v>
      </c>
      <c r="L54" s="45">
        <f t="shared" si="35"/>
        <v>0.935965338760267</v>
      </c>
      <c r="M54" s="45">
        <f t="shared" si="35"/>
        <v>1.6804647925447578</v>
      </c>
    </row>
    <row r="55" spans="1:13" ht="18" customHeight="1">
      <c r="A55" s="41" t="s">
        <v>244</v>
      </c>
      <c r="B55" s="24" t="s">
        <v>232</v>
      </c>
      <c r="C55" s="45">
        <f t="shared" ref="C55:M55" si="36">IF(C64&lt;&gt;0,C68/C64,"")</f>
        <v>19.243635662536242</v>
      </c>
      <c r="D55" s="45">
        <f t="shared" si="36"/>
        <v>6.2995102485035375</v>
      </c>
      <c r="E55" s="45">
        <f t="shared" si="36"/>
        <v>9.0214881626767518</v>
      </c>
      <c r="F55" s="45">
        <f t="shared" si="36"/>
        <v>-0.1430870220428595</v>
      </c>
      <c r="G55" s="45">
        <f t="shared" si="36"/>
        <v>0.72661286410419479</v>
      </c>
      <c r="H55" s="45">
        <f t="shared" si="36"/>
        <v>-1.7754646045276732</v>
      </c>
      <c r="I55" s="45">
        <f t="shared" si="36"/>
        <v>-1.6383246077739109</v>
      </c>
      <c r="J55" s="45">
        <f t="shared" si="36"/>
        <v>0.8166697586733983</v>
      </c>
      <c r="K55" s="45">
        <f t="shared" si="36"/>
        <v>2.7275707459716783</v>
      </c>
      <c r="L55" s="45">
        <f t="shared" si="36"/>
        <v>2.2739370078740158</v>
      </c>
      <c r="M55" s="45">
        <f t="shared" si="36"/>
        <v>0.4453894207917431</v>
      </c>
    </row>
    <row r="56" spans="1:13" ht="18" customHeight="1">
      <c r="A56" s="40" t="s">
        <v>245</v>
      </c>
      <c r="B56" s="24" t="s">
        <v>232</v>
      </c>
      <c r="C56" s="45">
        <f t="shared" ref="C56:M56" si="37">IF(C70&gt;0,C81/C70,"")</f>
        <v>0</v>
      </c>
      <c r="D56" s="45">
        <f t="shared" si="37"/>
        <v>0</v>
      </c>
      <c r="E56" s="45">
        <f t="shared" si="37"/>
        <v>0</v>
      </c>
      <c r="F56" s="45">
        <f t="shared" si="37"/>
        <v>0</v>
      </c>
      <c r="G56" s="45">
        <f t="shared" si="37"/>
        <v>3.7769919113661534</v>
      </c>
      <c r="H56" s="45">
        <f t="shared" si="37"/>
        <v>23.24267984719021</v>
      </c>
      <c r="I56" s="45">
        <f t="shared" si="37"/>
        <v>21.739712871352374</v>
      </c>
      <c r="J56" s="45">
        <f t="shared" si="37"/>
        <v>5.3343034827085392</v>
      </c>
      <c r="K56" s="45">
        <f t="shared" si="37"/>
        <v>2.6168583465637818</v>
      </c>
      <c r="L56" s="45">
        <f t="shared" si="37"/>
        <v>2.7970708326700255</v>
      </c>
      <c r="M56" s="45">
        <f t="shared" si="37"/>
        <v>4.8943002977456391</v>
      </c>
    </row>
    <row r="57" spans="1:13" ht="20" customHeight="1">
      <c r="A57" s="38" t="s">
        <v>246</v>
      </c>
      <c r="B57" s="38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</row>
    <row r="58" spans="1:13" ht="18" customHeight="1">
      <c r="A58" s="40" t="s">
        <v>25</v>
      </c>
      <c r="B58" s="24" t="s">
        <v>26</v>
      </c>
      <c r="C58" s="47">
        <f>'02_Raw_Financials'!C8</f>
        <v>16139.909</v>
      </c>
      <c r="D58" s="47">
        <f>'02_Raw_Financials'!D8</f>
        <v>18580.5</v>
      </c>
      <c r="E58" s="47">
        <f>'02_Raw_Financials'!E8</f>
        <v>23020.886999999999</v>
      </c>
      <c r="F58" s="47">
        <f>'02_Raw_Financials'!F8</f>
        <v>28496.771999999997</v>
      </c>
      <c r="G58" s="47">
        <f>'02_Raw_Financials'!G8</f>
        <v>35756.001000000004</v>
      </c>
      <c r="H58" s="47">
        <f>'02_Raw_Financials'!H8</f>
        <v>14640.630999999999</v>
      </c>
      <c r="I58" s="47">
        <f>'02_Raw_Financials'!I8</f>
        <v>25930.927</v>
      </c>
      <c r="J58" s="47">
        <f>'02_Raw_Financials'!J8</f>
        <v>54446.453000000001</v>
      </c>
      <c r="K58" s="47">
        <f>'02_Raw_Financials'!K8</f>
        <v>68904.342000000004</v>
      </c>
      <c r="L58" s="47">
        <f>'02_Raw_Financials'!L8</f>
        <v>80802.899999999994</v>
      </c>
      <c r="M58" s="47">
        <f>'02_Raw_Financials'!M8</f>
        <v>84961.9</v>
      </c>
    </row>
    <row r="59" spans="1:13" ht="18" customHeight="1">
      <c r="A59" s="40" t="s">
        <v>29</v>
      </c>
      <c r="B59" s="24" t="s">
        <v>26</v>
      </c>
      <c r="C59" s="47">
        <f>'02_Raw_Financials'!C11</f>
        <v>4779.3239999999996</v>
      </c>
      <c r="D59" s="47">
        <f>'02_Raw_Financials'!D11</f>
        <v>6341.5129999999999</v>
      </c>
      <c r="E59" s="47">
        <f>'02_Raw_Financials'!E11</f>
        <v>7760.1360000000004</v>
      </c>
      <c r="F59" s="47">
        <f>'02_Raw_Financials'!F11</f>
        <v>11942.793</v>
      </c>
      <c r="G59" s="47">
        <f>'02_Raw_Financials'!G11</f>
        <v>12453.794</v>
      </c>
      <c r="H59" s="47">
        <f>'02_Raw_Financials'!H11</f>
        <v>3831.277</v>
      </c>
      <c r="I59" s="47">
        <f>'02_Raw_Financials'!I11</f>
        <v>9695.2360000000008</v>
      </c>
      <c r="J59" s="47">
        <f>'02_Raw_Financials'!J11</f>
        <v>23646.017</v>
      </c>
      <c r="K59" s="47">
        <f>'02_Raw_Financials'!K11</f>
        <v>23904.578000000001</v>
      </c>
      <c r="L59" s="47">
        <f>'02_Raw_Financials'!L11</f>
        <v>26197.3</v>
      </c>
      <c r="M59" s="47">
        <f>'02_Raw_Financials'!M11</f>
        <v>25389.200000000001</v>
      </c>
    </row>
    <row r="60" spans="1:13" ht="18" customHeight="1">
      <c r="A60" s="40" t="s">
        <v>35</v>
      </c>
      <c r="B60" s="24" t="s">
        <v>26</v>
      </c>
      <c r="C60" s="47">
        <f>'02_Raw_Financials'!C17</f>
        <v>1789.923</v>
      </c>
      <c r="D60" s="47">
        <f>'02_Raw_Financials'!D17</f>
        <v>2048.19</v>
      </c>
      <c r="E60" s="47">
        <f>'02_Raw_Financials'!E17</f>
        <v>2455.0219999999999</v>
      </c>
      <c r="F60" s="47">
        <f>'02_Raw_Financials'!F17</f>
        <v>3210.5569999999998</v>
      </c>
      <c r="G60" s="47">
        <f>'02_Raw_Financials'!G17</f>
        <v>4709.9589999999998</v>
      </c>
      <c r="H60" s="47">
        <f>'02_Raw_Financials'!H17</f>
        <v>3295.4919999999997</v>
      </c>
      <c r="I60" s="47">
        <f>'02_Raw_Financials'!I17</f>
        <v>3486.4430000000002</v>
      </c>
      <c r="J60" s="47">
        <f>'02_Raw_Financials'!J17</f>
        <v>4794.7519999999995</v>
      </c>
      <c r="K60" s="47">
        <f>'02_Raw_Financials'!K17</f>
        <v>6461.8559999999998</v>
      </c>
      <c r="L60" s="47">
        <f>'02_Raw_Financials'!L17</f>
        <v>7472.5</v>
      </c>
      <c r="M60" s="47">
        <f>'02_Raw_Financials'!M17</f>
        <v>8272.2000000000007</v>
      </c>
    </row>
    <row r="61" spans="1:13" ht="18" customHeight="1">
      <c r="A61" s="40" t="s">
        <v>31</v>
      </c>
      <c r="B61" s="24" t="s">
        <v>26</v>
      </c>
      <c r="C61" s="47">
        <f>'02_Raw_Financials'!C13</f>
        <v>0</v>
      </c>
      <c r="D61" s="47">
        <f>'02_Raw_Financials'!D13</f>
        <v>0</v>
      </c>
      <c r="E61" s="47">
        <f>'02_Raw_Financials'!E13</f>
        <v>0</v>
      </c>
      <c r="F61" s="47">
        <f>'02_Raw_Financials'!F13</f>
        <v>0</v>
      </c>
      <c r="G61" s="47">
        <f>'02_Raw_Financials'!G13</f>
        <v>5867.2370000000001</v>
      </c>
      <c r="H61" s="47">
        <f>'02_Raw_Financials'!H13</f>
        <v>4191.26</v>
      </c>
      <c r="I61" s="47">
        <f>'02_Raw_Financials'!I13</f>
        <v>6089.7839999999997</v>
      </c>
      <c r="J61" s="47">
        <f>'02_Raw_Financials'!J13</f>
        <v>8044.9600000000009</v>
      </c>
      <c r="K61" s="47">
        <f>'02_Raw_Financials'!K13</f>
        <v>9931.6239999999998</v>
      </c>
      <c r="L61" s="47">
        <f>'02_Raw_Financials'!L13</f>
        <v>11218.5</v>
      </c>
      <c r="M61" s="47">
        <f>'02_Raw_Financials'!M13</f>
        <v>12912.1</v>
      </c>
    </row>
    <row r="62" spans="1:13" ht="18" customHeight="1">
      <c r="A62" s="40" t="s">
        <v>30</v>
      </c>
      <c r="B62" s="24" t="s">
        <v>26</v>
      </c>
      <c r="C62" s="47">
        <f>'02_Raw_Financials'!C12</f>
        <v>2612.152</v>
      </c>
      <c r="D62" s="47">
        <f>'02_Raw_Financials'!D12</f>
        <v>3125.373</v>
      </c>
      <c r="E62" s="47">
        <f>'02_Raw_Financials'!E12</f>
        <v>3610.1990000000001</v>
      </c>
      <c r="F62" s="47">
        <f>'02_Raw_Financials'!F12</f>
        <v>4999.4489999999996</v>
      </c>
      <c r="G62" s="47">
        <f>'02_Raw_Financials'!G12</f>
        <v>496.65699999999998</v>
      </c>
      <c r="H62" s="47">
        <f>'02_Raw_Financials'!H12</f>
        <v>280.45699999999999</v>
      </c>
      <c r="I62" s="47">
        <f>'02_Raw_Financials'!I12</f>
        <v>311.68400000000003</v>
      </c>
      <c r="J62" s="47">
        <f>'02_Raw_Financials'!J12</f>
        <v>325.84000000000003</v>
      </c>
      <c r="K62" s="47">
        <f>'02_Raw_Financials'!K12</f>
        <v>1075.1950000000002</v>
      </c>
      <c r="L62" s="47">
        <f>'02_Raw_Financials'!L12</f>
        <v>3010.3</v>
      </c>
      <c r="M62" s="47">
        <f>'02_Raw_Financials'!M12</f>
        <v>2084.6999999999998</v>
      </c>
    </row>
    <row r="63" spans="1:13" ht="18" customHeight="1">
      <c r="A63" s="40" t="s">
        <v>38</v>
      </c>
      <c r="B63" s="24" t="s">
        <v>26</v>
      </c>
      <c r="C63" s="47">
        <f>'02_Raw_Financials'!C20</f>
        <v>503.07900000000001</v>
      </c>
      <c r="D63" s="47">
        <f>'02_Raw_Financials'!D20</f>
        <v>457.25299999999999</v>
      </c>
      <c r="E63" s="47">
        <f>'02_Raw_Financials'!E20</f>
        <v>436.87700000000007</v>
      </c>
      <c r="F63" s="47">
        <f>'02_Raw_Financials'!F20</f>
        <v>759.58</v>
      </c>
      <c r="G63" s="47">
        <f>'02_Raw_Financials'!G20</f>
        <v>3973.9290000000001</v>
      </c>
      <c r="H63" s="47">
        <f>'02_Raw_Financials'!H20</f>
        <v>4699.4459999999999</v>
      </c>
      <c r="I63" s="47">
        <f>'02_Raw_Financials'!I20</f>
        <v>5068.6000000000004</v>
      </c>
      <c r="J63" s="47">
        <f>'02_Raw_Financials'!J20</f>
        <v>5102.9690000000001</v>
      </c>
      <c r="K63" s="47">
        <f>'02_Raw_Financials'!K20</f>
        <v>6425.7290000000003</v>
      </c>
      <c r="L63" s="47">
        <f>'02_Raw_Financials'!L20</f>
        <v>8680.2000000000007</v>
      </c>
      <c r="M63" s="47">
        <f>'02_Raw_Financials'!M20</f>
        <v>10808.2</v>
      </c>
    </row>
    <row r="64" spans="1:13" ht="18" customHeight="1">
      <c r="A64" s="40" t="s">
        <v>39</v>
      </c>
      <c r="B64" s="24" t="s">
        <v>26</v>
      </c>
      <c r="C64" s="47">
        <f>'02_Raw_Financials'!C21</f>
        <v>134.85300000000001</v>
      </c>
      <c r="D64" s="47">
        <f>'02_Raw_Financials'!D21</f>
        <v>330.78000000000003</v>
      </c>
      <c r="E64" s="47">
        <f>'02_Raw_Financials'!E21</f>
        <v>339.815</v>
      </c>
      <c r="F64" s="47">
        <f>'02_Raw_Financials'!F21</f>
        <v>508.96300000000002</v>
      </c>
      <c r="G64" s="47">
        <f>'02_Raw_Financials'!G21</f>
        <v>1875.8710000000001</v>
      </c>
      <c r="H64" s="47">
        <f>'02_Raw_Financials'!H21</f>
        <v>2141.9830000000002</v>
      </c>
      <c r="I64" s="47">
        <f>'02_Raw_Financials'!I21</f>
        <v>2358.0150000000003</v>
      </c>
      <c r="J64" s="47">
        <f>'02_Raw_Financials'!J21</f>
        <v>3131.7310000000002</v>
      </c>
      <c r="K64" s="47">
        <f>'02_Raw_Financials'!K21</f>
        <v>4169.3540000000003</v>
      </c>
      <c r="L64" s="47">
        <f>'02_Raw_Financials'!L21</f>
        <v>5080</v>
      </c>
      <c r="M64" s="47">
        <f>'02_Raw_Financials'!M21</f>
        <v>5890.8</v>
      </c>
    </row>
    <row r="65" spans="1:13" ht="18" customHeight="1">
      <c r="A65" s="40" t="s">
        <v>98</v>
      </c>
      <c r="B65" s="24" t="s">
        <v>26</v>
      </c>
      <c r="C65" s="47">
        <f>'02_Raw_Financials'!C85</f>
        <v>-368.74099999999999</v>
      </c>
      <c r="D65" s="47">
        <f>'02_Raw_Financials'!D85</f>
        <v>-391.327</v>
      </c>
      <c r="E65" s="47">
        <f>'02_Raw_Financials'!E85</f>
        <v>-400.80500000000001</v>
      </c>
      <c r="F65" s="47">
        <f>'02_Raw_Financials'!F85</f>
        <v>-434.41099999999994</v>
      </c>
      <c r="G65" s="47">
        <f>'02_Raw_Financials'!G85</f>
        <v>-257.16999999999996</v>
      </c>
      <c r="H65" s="47">
        <f>'02_Raw_Financials'!H85</f>
        <v>-126.928</v>
      </c>
      <c r="I65" s="47">
        <f>'02_Raw_Financials'!I85</f>
        <v>-67.525000000000006</v>
      </c>
      <c r="J65" s="47">
        <f>'02_Raw_Financials'!J85</f>
        <v>-269.75599999999997</v>
      </c>
      <c r="K65" s="47">
        <f>'02_Raw_Financials'!K85</f>
        <v>-846.45499999999993</v>
      </c>
      <c r="L65" s="47">
        <f>'02_Raw_Financials'!L85</f>
        <v>-1121.8</v>
      </c>
      <c r="M65" s="47">
        <f>'02_Raw_Financials'!M85</f>
        <v>-1306.5999999999999</v>
      </c>
    </row>
    <row r="66" spans="1:13" ht="18" customHeight="1">
      <c r="A66" s="40" t="s">
        <v>42</v>
      </c>
      <c r="B66" s="24" t="s">
        <v>26</v>
      </c>
      <c r="C66" s="47">
        <f>'02_Raw_Financials'!C24</f>
        <v>2828.95</v>
      </c>
      <c r="D66" s="47">
        <f>'02_Raw_Financials'!D24</f>
        <v>2144.299</v>
      </c>
      <c r="E66" s="47">
        <f>'02_Raw_Financials'!E24</f>
        <v>3126.627</v>
      </c>
      <c r="F66" s="47">
        <f>'02_Raw_Financials'!F24</f>
        <v>-147.37799999999999</v>
      </c>
      <c r="G66" s="47">
        <f>'02_Raw_Financials'!G24</f>
        <v>-255.66900000000001</v>
      </c>
      <c r="H66" s="47">
        <f>'02_Raw_Financials'!H24</f>
        <v>-5818.07</v>
      </c>
      <c r="I66" s="47">
        <f>'02_Raw_Financials'!I24</f>
        <v>-6153.6839999999993</v>
      </c>
      <c r="J66" s="47">
        <f>'02_Raw_Financials'!J24</f>
        <v>-304.38499999999999</v>
      </c>
      <c r="K66" s="47">
        <f>'02_Raw_Financials'!K24</f>
        <v>8049.3089999999993</v>
      </c>
      <c r="L66" s="47">
        <f>'02_Raw_Financials'!L24</f>
        <v>7593.4</v>
      </c>
      <c r="M66" s="47">
        <f>'02_Raw_Financials'!M24</f>
        <v>-1960.5</v>
      </c>
    </row>
    <row r="67" spans="1:13" ht="18" customHeight="1">
      <c r="A67" s="40" t="s">
        <v>247</v>
      </c>
      <c r="B67" s="24" t="s">
        <v>26</v>
      </c>
      <c r="C67" s="47">
        <f>'02_Raw_Financials'!C25</f>
        <v>839.2299999999999</v>
      </c>
      <c r="D67" s="47">
        <f>'02_Raw_Financials'!D25</f>
        <v>485.15199999999999</v>
      </c>
      <c r="E67" s="47">
        <f>'02_Raw_Financials'!E25</f>
        <v>884.30300000000011</v>
      </c>
      <c r="F67" s="47">
        <f>'02_Raw_Financials'!F25</f>
        <v>-304.625</v>
      </c>
      <c r="G67" s="47">
        <f>'02_Raw_Financials'!G25</f>
        <v>-21.991</v>
      </c>
      <c r="H67" s="47">
        <f>'02_Raw_Financials'!H25</f>
        <v>-11.643000000000001</v>
      </c>
      <c r="I67" s="47">
        <f>'02_Raw_Financials'!I25</f>
        <v>8.1609999999999996</v>
      </c>
      <c r="J67" s="47">
        <f>'02_Raw_Financials'!J25</f>
        <v>1.4039999999999999</v>
      </c>
      <c r="K67" s="47">
        <f>'02_Raw_Financials'!K25</f>
        <v>-123.15900000000001</v>
      </c>
      <c r="L67" s="47">
        <f>'02_Raw_Financials'!L25</f>
        <v>335</v>
      </c>
      <c r="M67" s="47">
        <f>'02_Raw_Financials'!M25</f>
        <v>433.1</v>
      </c>
    </row>
    <row r="68" spans="1:13" ht="18" customHeight="1">
      <c r="A68" s="52" t="s">
        <v>248</v>
      </c>
      <c r="B68" s="53" t="s">
        <v>26</v>
      </c>
      <c r="C68" s="56">
        <f t="shared" ref="C68:M68" si="38">C66+C64+C65</f>
        <v>2595.0619999999999</v>
      </c>
      <c r="D68" s="56">
        <f t="shared" si="38"/>
        <v>2083.7520000000004</v>
      </c>
      <c r="E68" s="56">
        <f t="shared" si="38"/>
        <v>3065.6370000000002</v>
      </c>
      <c r="F68" s="56">
        <f t="shared" si="38"/>
        <v>-72.825999999999908</v>
      </c>
      <c r="G68" s="56">
        <f t="shared" si="38"/>
        <v>1363.0320000000002</v>
      </c>
      <c r="H68" s="56">
        <f t="shared" si="38"/>
        <v>-3803.0149999999994</v>
      </c>
      <c r="I68" s="56">
        <f t="shared" si="38"/>
        <v>-3863.1939999999991</v>
      </c>
      <c r="J68" s="56">
        <f t="shared" si="38"/>
        <v>2557.5900000000006</v>
      </c>
      <c r="K68" s="56">
        <f t="shared" si="38"/>
        <v>11372.208000000001</v>
      </c>
      <c r="L68" s="56">
        <f t="shared" si="38"/>
        <v>11551.6</v>
      </c>
      <c r="M68" s="56">
        <f t="shared" si="38"/>
        <v>2623.7000000000003</v>
      </c>
    </row>
    <row r="69" spans="1:13" ht="18" customHeight="1">
      <c r="A69" s="41" t="s">
        <v>249</v>
      </c>
      <c r="B69" s="24" t="s">
        <v>26</v>
      </c>
      <c r="C69" s="46">
        <f t="shared" ref="C69:M69" si="39">C68+C63</f>
        <v>3098.1410000000001</v>
      </c>
      <c r="D69" s="46">
        <f t="shared" si="39"/>
        <v>2541.0050000000006</v>
      </c>
      <c r="E69" s="46">
        <f t="shared" si="39"/>
        <v>3502.5140000000001</v>
      </c>
      <c r="F69" s="46">
        <f t="shared" si="39"/>
        <v>686.75400000000013</v>
      </c>
      <c r="G69" s="46">
        <f t="shared" si="39"/>
        <v>5336.9610000000002</v>
      </c>
      <c r="H69" s="46">
        <f t="shared" si="39"/>
        <v>896.43100000000049</v>
      </c>
      <c r="I69" s="46">
        <f t="shared" si="39"/>
        <v>1205.4060000000013</v>
      </c>
      <c r="J69" s="46">
        <f t="shared" si="39"/>
        <v>7660.5590000000011</v>
      </c>
      <c r="K69" s="46">
        <f t="shared" si="39"/>
        <v>17797.937000000002</v>
      </c>
      <c r="L69" s="46">
        <f t="shared" si="39"/>
        <v>20231.800000000003</v>
      </c>
      <c r="M69" s="46">
        <f t="shared" si="39"/>
        <v>13431.900000000001</v>
      </c>
    </row>
    <row r="70" spans="1:13" ht="18" customHeight="1">
      <c r="A70" s="41" t="s">
        <v>250</v>
      </c>
      <c r="B70" s="24" t="s">
        <v>26</v>
      </c>
      <c r="C70" s="46">
        <f t="shared" ref="C70:M70" si="40">C69+C62</f>
        <v>5710.2929999999997</v>
      </c>
      <c r="D70" s="46">
        <f t="shared" si="40"/>
        <v>5666.3780000000006</v>
      </c>
      <c r="E70" s="46">
        <f t="shared" si="40"/>
        <v>7112.7129999999997</v>
      </c>
      <c r="F70" s="46">
        <f t="shared" si="40"/>
        <v>5686.2029999999995</v>
      </c>
      <c r="G70" s="46">
        <f t="shared" si="40"/>
        <v>5833.6180000000004</v>
      </c>
      <c r="H70" s="46">
        <f t="shared" si="40"/>
        <v>1176.8880000000004</v>
      </c>
      <c r="I70" s="46">
        <f t="shared" si="40"/>
        <v>1517.0900000000013</v>
      </c>
      <c r="J70" s="46">
        <f t="shared" si="40"/>
        <v>7986.3990000000013</v>
      </c>
      <c r="K70" s="46">
        <f t="shared" si="40"/>
        <v>18873.132000000001</v>
      </c>
      <c r="L70" s="46">
        <f t="shared" si="40"/>
        <v>23242.100000000002</v>
      </c>
      <c r="M70" s="46">
        <f t="shared" si="40"/>
        <v>15516.600000000002</v>
      </c>
    </row>
    <row r="71" spans="1:13" ht="18" customHeight="1">
      <c r="A71" s="40" t="s">
        <v>44</v>
      </c>
      <c r="B71" s="24" t="s">
        <v>26</v>
      </c>
      <c r="C71" s="47">
        <f>'02_Raw_Financials'!C26</f>
        <v>1989.72</v>
      </c>
      <c r="D71" s="47">
        <f>'02_Raw_Financials'!D26</f>
        <v>1659.1470000000002</v>
      </c>
      <c r="E71" s="47">
        <f>'02_Raw_Financials'!E26</f>
        <v>2242.3240000000001</v>
      </c>
      <c r="F71" s="47">
        <f>'02_Raw_Financials'!F26</f>
        <v>157.24700000000001</v>
      </c>
      <c r="G71" s="47">
        <f>'02_Raw_Financials'!G26</f>
        <v>-233.67800000000005</v>
      </c>
      <c r="H71" s="47">
        <f>'02_Raw_Financials'!H26</f>
        <v>-5806.4269999999997</v>
      </c>
      <c r="I71" s="47">
        <f>'02_Raw_Financials'!I26</f>
        <v>-6161.8449999999993</v>
      </c>
      <c r="J71" s="47">
        <f>'02_Raw_Financials'!J26</f>
        <v>-305.78899999999999</v>
      </c>
      <c r="K71" s="47">
        <f>'02_Raw_Financials'!K26</f>
        <v>8172.4679999999989</v>
      </c>
      <c r="L71" s="47">
        <f>'02_Raw_Financials'!L26</f>
        <v>7258.4</v>
      </c>
      <c r="M71" s="47">
        <f>'02_Raw_Financials'!M26</f>
        <v>-2393.6</v>
      </c>
    </row>
    <row r="72" spans="1:13" ht="18" customHeight="1">
      <c r="A72" s="40" t="s">
        <v>251</v>
      </c>
      <c r="B72" s="24" t="s">
        <v>26</v>
      </c>
      <c r="C72" s="47">
        <f>'02_Raw_Financials'!C91</f>
        <v>3099.0749999999998</v>
      </c>
      <c r="D72" s="47">
        <f>'02_Raw_Financials'!D91</f>
        <v>3782.07</v>
      </c>
      <c r="E72" s="47">
        <f>'02_Raw_Financials'!E91</f>
        <v>3903.0839999999998</v>
      </c>
      <c r="F72" s="47">
        <f>'02_Raw_Financials'!F91</f>
        <v>3175.5410000000002</v>
      </c>
      <c r="G72" s="47">
        <f>'02_Raw_Financials'!G91</f>
        <v>6971.7820000000011</v>
      </c>
      <c r="H72" s="47">
        <f>'02_Raw_Financials'!H91</f>
        <v>-1614.154</v>
      </c>
      <c r="I72" s="47">
        <f>'02_Raw_Financials'!I91</f>
        <v>2090.578</v>
      </c>
      <c r="J72" s="47">
        <f>'02_Raw_Financials'!J91</f>
        <v>12727.939</v>
      </c>
      <c r="K72" s="47">
        <f>'02_Raw_Financials'!K91</f>
        <v>21217.575000000001</v>
      </c>
      <c r="L72" s="47">
        <f>'02_Raw_Financials'!L91</f>
        <v>24151.3</v>
      </c>
      <c r="M72" s="47">
        <f>'02_Raw_Financials'!M91</f>
        <v>23469.9</v>
      </c>
    </row>
    <row r="73" spans="1:13" ht="18" customHeight="1">
      <c r="A73" s="40" t="s">
        <v>106</v>
      </c>
      <c r="B73" s="24" t="s">
        <v>26</v>
      </c>
      <c r="C73" s="47">
        <f>'02_Raw_Financials'!C93</f>
        <v>2867.085</v>
      </c>
      <c r="D73" s="47">
        <f>'02_Raw_Financials'!D93</f>
        <v>3544.8320000000003</v>
      </c>
      <c r="E73" s="47">
        <f>'02_Raw_Financials'!E93</f>
        <v>2682.8689999999997</v>
      </c>
      <c r="F73" s="47">
        <f>'02_Raw_Financials'!F93</f>
        <v>1463.9790000000003</v>
      </c>
      <c r="G73" s="47">
        <f>'02_Raw_Financials'!G93</f>
        <v>5883.4760000000006</v>
      </c>
      <c r="H73" s="47">
        <f>'02_Raw_Financials'!H93</f>
        <v>-2051.0410000000002</v>
      </c>
      <c r="I73" s="47">
        <f>'02_Raw_Financials'!I93</f>
        <v>1743.6970000000001</v>
      </c>
      <c r="J73" s="47">
        <f>'02_Raw_Financials'!J93</f>
        <v>12158.135</v>
      </c>
      <c r="K73" s="47">
        <f>'02_Raw_Financials'!K93</f>
        <v>20114.93</v>
      </c>
      <c r="L73" s="47">
        <f>'02_Raw_Financials'!L93</f>
        <v>22546.5</v>
      </c>
      <c r="M73" s="47">
        <f>'02_Raw_Financials'!M93</f>
        <v>21198.100000000002</v>
      </c>
    </row>
    <row r="74" spans="1:13" ht="18" customHeight="1">
      <c r="A74" s="40" t="s">
        <v>73</v>
      </c>
      <c r="B74" s="24" t="s">
        <v>26</v>
      </c>
      <c r="C74" s="47">
        <f>'02_Raw_Financials'!C55</f>
        <v>13019.111000000001</v>
      </c>
      <c r="D74" s="47">
        <f>'02_Raw_Financials'!D55</f>
        <v>15209.736000000001</v>
      </c>
      <c r="E74" s="47">
        <f>'02_Raw_Financials'!E55</f>
        <v>21129.296000000002</v>
      </c>
      <c r="F74" s="47">
        <f>'02_Raw_Financials'!F55</f>
        <v>25026.841999999997</v>
      </c>
      <c r="G74" s="47">
        <f>'02_Raw_Financials'!G55</f>
        <v>42101.078000000009</v>
      </c>
      <c r="H74" s="47">
        <f>'02_Raw_Financials'!H55</f>
        <v>43051.152999999991</v>
      </c>
      <c r="I74" s="47">
        <f>'02_Raw_Financials'!I55</f>
        <v>45962.597999999998</v>
      </c>
      <c r="J74" s="47">
        <f>'02_Raw_Financials'!J55</f>
        <v>59169.819000000003</v>
      </c>
      <c r="K74" s="47">
        <f>'02_Raw_Financials'!K55</f>
        <v>82224.516999999993</v>
      </c>
      <c r="L74" s="47">
        <f>'02_Raw_Financials'!L55</f>
        <v>115843.5</v>
      </c>
      <c r="M74" s="47">
        <f>'02_Raw_Financials'!M55</f>
        <v>136002.09999999998</v>
      </c>
    </row>
    <row r="75" spans="1:13" ht="18" customHeight="1">
      <c r="A75" s="40" t="s">
        <v>76</v>
      </c>
      <c r="B75" s="24" t="s">
        <v>26</v>
      </c>
      <c r="C75" s="47">
        <f>'02_Raw_Financials'!C58</f>
        <v>1834.277</v>
      </c>
      <c r="D75" s="47">
        <f>'02_Raw_Financials'!D58</f>
        <v>3779.1759999999999</v>
      </c>
      <c r="E75" s="47">
        <f>'02_Raw_Financials'!E58</f>
        <v>7077.3550000000005</v>
      </c>
      <c r="F75" s="47">
        <f>'02_Raw_Financials'!F58</f>
        <v>6945.81</v>
      </c>
      <c r="G75" s="47">
        <f>'02_Raw_Financials'!G58</f>
        <v>5877.9400000000005</v>
      </c>
      <c r="H75" s="47">
        <f>'02_Raw_Financials'!H58</f>
        <v>110.85899999999999</v>
      </c>
      <c r="I75" s="47">
        <f>'02_Raw_Financials'!I58</f>
        <v>-5988.0619999999999</v>
      </c>
      <c r="J75" s="47">
        <f>'02_Raw_Financials'!J58</f>
        <v>-6246.5160000000005</v>
      </c>
      <c r="K75" s="47">
        <f>'02_Raw_Financials'!K58</f>
        <v>1996.432</v>
      </c>
      <c r="L75" s="47">
        <f>'02_Raw_Financials'!L58</f>
        <v>9368.2000000000007</v>
      </c>
      <c r="M75" s="47">
        <f>'02_Raw_Financials'!M58</f>
        <v>6987.4</v>
      </c>
    </row>
    <row r="76" spans="1:13" ht="18" customHeight="1">
      <c r="A76" s="40" t="s">
        <v>66</v>
      </c>
      <c r="B76" s="24" t="s">
        <v>26</v>
      </c>
      <c r="C76" s="47">
        <f>'02_Raw_Financials'!C48</f>
        <v>805.36800000000005</v>
      </c>
      <c r="D76" s="47">
        <f>'02_Raw_Financials'!D48</f>
        <v>153.119</v>
      </c>
      <c r="E76" s="47">
        <f>'02_Raw_Financials'!E48</f>
        <v>670.71800000000007</v>
      </c>
      <c r="F76" s="47">
        <f>'02_Raw_Financials'!F48</f>
        <v>728.41700000000003</v>
      </c>
      <c r="G76" s="47">
        <f>'02_Raw_Financials'!G48</f>
        <v>719.06600000000003</v>
      </c>
      <c r="H76" s="47">
        <f>'02_Raw_Financials'!H48</f>
        <v>508.8850000000001</v>
      </c>
      <c r="I76" s="47">
        <f>'02_Raw_Financials'!I48</f>
        <v>1015.329</v>
      </c>
      <c r="J76" s="47">
        <f>'02_Raw_Financials'!J48</f>
        <v>1267.9690000000001</v>
      </c>
      <c r="K76" s="47">
        <f>'02_Raw_Financials'!K48</f>
        <v>695.27700000000004</v>
      </c>
      <c r="L76" s="47">
        <f>'02_Raw_Financials'!L48</f>
        <v>1073.0999999999999</v>
      </c>
      <c r="M76" s="47">
        <f>'02_Raw_Financials'!M48</f>
        <v>1323.9</v>
      </c>
    </row>
    <row r="77" spans="1:13" ht="18" customHeight="1">
      <c r="A77" s="40" t="s">
        <v>67</v>
      </c>
      <c r="B77" s="24" t="s">
        <v>26</v>
      </c>
      <c r="C77" s="47">
        <f>'02_Raw_Financials'!C49</f>
        <v>2913.3020000000001</v>
      </c>
      <c r="D77" s="47">
        <f>'02_Raw_Financials'!D49</f>
        <v>4479.4260000000004</v>
      </c>
      <c r="E77" s="47">
        <f>'02_Raw_Financials'!E49</f>
        <v>5909.973</v>
      </c>
      <c r="F77" s="47">
        <f>'02_Raw_Financials'!F49</f>
        <v>7893.58</v>
      </c>
      <c r="G77" s="47">
        <f>'02_Raw_Financials'!G49</f>
        <v>10153.364</v>
      </c>
      <c r="H77" s="47">
        <f>'02_Raw_Financials'!H49</f>
        <v>10718.78</v>
      </c>
      <c r="I77" s="47">
        <f>'02_Raw_Financials'!I49</f>
        <v>9104.8119999999999</v>
      </c>
      <c r="J77" s="47">
        <f>'02_Raw_Financials'!J49</f>
        <v>10571.716</v>
      </c>
      <c r="K77" s="47">
        <f>'02_Raw_Financials'!K49</f>
        <v>16025.329999999998</v>
      </c>
      <c r="L77" s="47">
        <f>'02_Raw_Financials'!L49</f>
        <v>17889.8</v>
      </c>
      <c r="M77" s="47">
        <f>'02_Raw_Financials'!M49</f>
        <v>22675.4</v>
      </c>
    </row>
    <row r="78" spans="1:13" ht="18" customHeight="1">
      <c r="A78" s="40" t="s">
        <v>64</v>
      </c>
      <c r="B78" s="24" t="s">
        <v>26</v>
      </c>
      <c r="C78" s="47">
        <f>'02_Raw_Financials'!C46</f>
        <v>974.12</v>
      </c>
      <c r="D78" s="47">
        <f>'02_Raw_Financials'!D46</f>
        <v>3713.41</v>
      </c>
      <c r="E78" s="47">
        <f>'02_Raw_Financials'!E46</f>
        <v>6343.9120000000003</v>
      </c>
      <c r="F78" s="47">
        <f>'02_Raw_Financials'!F46</f>
        <v>6516.57</v>
      </c>
      <c r="G78" s="47">
        <f>'02_Raw_Financials'!G46</f>
        <v>9499.1669999999995</v>
      </c>
      <c r="H78" s="47">
        <f>'02_Raw_Financials'!H46</f>
        <v>7339.4059999999999</v>
      </c>
      <c r="I78" s="47">
        <f>'02_Raw_Financials'!I46</f>
        <v>8106.4719999999998</v>
      </c>
      <c r="J78" s="47">
        <f>'02_Raw_Financials'!J46</f>
        <v>11558.029</v>
      </c>
      <c r="K78" s="47">
        <f>'02_Raw_Financials'!K46</f>
        <v>15571.123</v>
      </c>
      <c r="L78" s="47">
        <f>'02_Raw_Financials'!L46</f>
        <v>24774.799999999999</v>
      </c>
      <c r="M78" s="47">
        <f>'02_Raw_Financials'!M46</f>
        <v>25743.8</v>
      </c>
    </row>
    <row r="79" spans="1:13" ht="18" customHeight="1">
      <c r="A79" s="40" t="s">
        <v>56</v>
      </c>
      <c r="B79" s="24" t="s">
        <v>26</v>
      </c>
      <c r="C79" s="47">
        <f>'02_Raw_Financials'!C38</f>
        <v>2.5000000000000001E-2</v>
      </c>
      <c r="D79" s="47">
        <f>'02_Raw_Financials'!D38</f>
        <v>1.7999999999999999E-2</v>
      </c>
      <c r="E79" s="47">
        <f>'02_Raw_Financials'!E38</f>
        <v>1.7000000000000001E-2</v>
      </c>
      <c r="F79" s="47">
        <f>'02_Raw_Financials'!F38</f>
        <v>1.4999999999999999E-2</v>
      </c>
      <c r="G79" s="47">
        <f>'02_Raw_Financials'!G38</f>
        <v>7.4999999999999997E-2</v>
      </c>
      <c r="H79" s="47">
        <f>'02_Raw_Financials'!H38</f>
        <v>8.299999999999999E-2</v>
      </c>
      <c r="I79" s="47">
        <f>'02_Raw_Financials'!I38</f>
        <v>1.2E-2</v>
      </c>
      <c r="J79" s="47">
        <f>'02_Raw_Financials'!J38</f>
        <v>6.8000000000000005E-2</v>
      </c>
      <c r="K79" s="47">
        <f>'02_Raw_Financials'!K38</f>
        <v>974.83900000000006</v>
      </c>
      <c r="L79" s="47">
        <f>'02_Raw_Financials'!L38</f>
        <v>1318.3</v>
      </c>
      <c r="M79" s="47">
        <f>'02_Raw_Financials'!M38</f>
        <v>1931</v>
      </c>
    </row>
    <row r="80" spans="1:13" ht="18" customHeight="1">
      <c r="A80" s="40" t="s">
        <v>238</v>
      </c>
      <c r="B80" s="24" t="s">
        <v>26</v>
      </c>
      <c r="C80" s="46">
        <f>'02_Raw_Financials'!C59+'02_Raw_Financials'!C67</f>
        <v>2949.8609999999999</v>
      </c>
      <c r="D80" s="46">
        <f>'02_Raw_Financials'!D59+'02_Raw_Financials'!D67</f>
        <v>2395.7080000000001</v>
      </c>
      <c r="E80" s="46">
        <f>'02_Raw_Financials'!E59+'02_Raw_Financials'!E67</f>
        <v>2241.37</v>
      </c>
      <c r="F80" s="46">
        <f>'02_Raw_Financials'!F59+'02_Raw_Financials'!F67</f>
        <v>2193.6689999999999</v>
      </c>
      <c r="G80" s="46">
        <f>'02_Raw_Financials'!G59+'02_Raw_Financials'!G67</f>
        <v>346.58699999999999</v>
      </c>
      <c r="H80" s="46">
        <f>'02_Raw_Financials'!H59+'02_Raw_Financials'!H67</f>
        <v>2505.623</v>
      </c>
      <c r="I80" s="46">
        <f>'02_Raw_Financials'!I59+'02_Raw_Financials'!I67</f>
        <v>3896.7359999999999</v>
      </c>
      <c r="J80" s="46">
        <f>'02_Raw_Financials'!J59+'02_Raw_Financials'!J67</f>
        <v>2252.337</v>
      </c>
      <c r="K80" s="46">
        <f>'02_Raw_Financials'!K59+'02_Raw_Financials'!K67</f>
        <v>1891.7070000000001</v>
      </c>
      <c r="L80" s="46">
        <f>'02_Raw_Financials'!L59+'02_Raw_Financials'!L67</f>
        <v>1800</v>
      </c>
      <c r="M80" s="46">
        <f>'02_Raw_Financials'!M59+'02_Raw_Financials'!M67</f>
        <v>1806.3</v>
      </c>
    </row>
    <row r="81" spans="1:13" ht="18" customHeight="1">
      <c r="A81" s="40" t="s">
        <v>239</v>
      </c>
      <c r="B81" s="24" t="s">
        <v>26</v>
      </c>
      <c r="C81" s="46">
        <f>'02_Raw_Financials'!C60+'02_Raw_Financials'!C68</f>
        <v>0</v>
      </c>
      <c r="D81" s="46">
        <f>'02_Raw_Financials'!D60+'02_Raw_Financials'!D68</f>
        <v>0</v>
      </c>
      <c r="E81" s="46">
        <f>'02_Raw_Financials'!E60+'02_Raw_Financials'!E68</f>
        <v>0</v>
      </c>
      <c r="F81" s="46">
        <f>'02_Raw_Financials'!F60+'02_Raw_Financials'!F68</f>
        <v>0</v>
      </c>
      <c r="G81" s="46">
        <f>'02_Raw_Financials'!G60+'02_Raw_Financials'!G68</f>
        <v>22033.527999999998</v>
      </c>
      <c r="H81" s="46">
        <f>'02_Raw_Financials'!H60+'02_Raw_Financials'!H68</f>
        <v>27354.030999999999</v>
      </c>
      <c r="I81" s="46">
        <f>'02_Raw_Financials'!I60+'02_Raw_Financials'!I68</f>
        <v>32981.101000000002</v>
      </c>
      <c r="J81" s="46">
        <f>'02_Raw_Financials'!J60+'02_Raw_Financials'!J68</f>
        <v>42601.876000000004</v>
      </c>
      <c r="K81" s="46">
        <f>'02_Raw_Financials'!K60+'02_Raw_Financials'!K68</f>
        <v>49388.313000000002</v>
      </c>
      <c r="L81" s="46">
        <f>'02_Raw_Financials'!L60+'02_Raw_Financials'!L68</f>
        <v>65009.8</v>
      </c>
      <c r="M81" s="46">
        <f>'02_Raw_Financials'!M60+'02_Raw_Financials'!M68</f>
        <v>75942.899999999994</v>
      </c>
    </row>
    <row r="82" spans="1:13" ht="18" customHeight="1">
      <c r="A82" s="52" t="s">
        <v>256</v>
      </c>
      <c r="B82" s="53" t="s">
        <v>26</v>
      </c>
      <c r="C82" s="56">
        <f t="shared" ref="C82:M82" si="41">C76+C77+C78+C79</f>
        <v>4692.8149999999996</v>
      </c>
      <c r="D82" s="56">
        <f t="shared" si="41"/>
        <v>8345.973</v>
      </c>
      <c r="E82" s="56">
        <f t="shared" si="41"/>
        <v>12924.619999999999</v>
      </c>
      <c r="F82" s="56">
        <f t="shared" si="41"/>
        <v>15138.581999999999</v>
      </c>
      <c r="G82" s="56">
        <f t="shared" si="41"/>
        <v>20371.672000000002</v>
      </c>
      <c r="H82" s="56">
        <f t="shared" si="41"/>
        <v>18567.153999999999</v>
      </c>
      <c r="I82" s="56">
        <f t="shared" si="41"/>
        <v>18226.624999999996</v>
      </c>
      <c r="J82" s="56">
        <f t="shared" si="41"/>
        <v>23397.781999999999</v>
      </c>
      <c r="K82" s="56">
        <f t="shared" si="41"/>
        <v>33266.568999999996</v>
      </c>
      <c r="L82" s="56">
        <f t="shared" si="41"/>
        <v>45056</v>
      </c>
      <c r="M82" s="56">
        <f t="shared" si="41"/>
        <v>51674.100000000006</v>
      </c>
    </row>
    <row r="83" spans="1:13" ht="18" customHeight="1">
      <c r="A83" s="41" t="s">
        <v>257</v>
      </c>
      <c r="B83" s="24" t="s">
        <v>26</v>
      </c>
      <c r="C83" s="46">
        <f t="shared" ref="C83:M83" si="42">C80-C82</f>
        <v>-1742.9539999999997</v>
      </c>
      <c r="D83" s="46">
        <f t="shared" si="42"/>
        <v>-5950.2649999999994</v>
      </c>
      <c r="E83" s="46">
        <f t="shared" si="42"/>
        <v>-10683.25</v>
      </c>
      <c r="F83" s="46">
        <f t="shared" si="42"/>
        <v>-12944.912999999999</v>
      </c>
      <c r="G83" s="46">
        <f t="shared" si="42"/>
        <v>-20025.085000000003</v>
      </c>
      <c r="H83" s="46">
        <f t="shared" si="42"/>
        <v>-16061.530999999999</v>
      </c>
      <c r="I83" s="46">
        <f t="shared" si="42"/>
        <v>-14329.888999999996</v>
      </c>
      <c r="J83" s="46">
        <f t="shared" si="42"/>
        <v>-21145.445</v>
      </c>
      <c r="K83" s="46">
        <f t="shared" si="42"/>
        <v>-31374.861999999997</v>
      </c>
      <c r="L83" s="46">
        <f t="shared" si="42"/>
        <v>-43256</v>
      </c>
      <c r="M83" s="46">
        <f t="shared" si="42"/>
        <v>-49867.8</v>
      </c>
    </row>
    <row r="84" spans="1:13" ht="18" customHeight="1">
      <c r="A84" s="41" t="s">
        <v>242</v>
      </c>
      <c r="B84" s="24" t="s">
        <v>26</v>
      </c>
      <c r="C84" s="46">
        <f t="shared" ref="C84:M84" si="43">C83+C81</f>
        <v>-1742.9539999999997</v>
      </c>
      <c r="D84" s="46">
        <f t="shared" si="43"/>
        <v>-5950.2649999999994</v>
      </c>
      <c r="E84" s="46">
        <f t="shared" si="43"/>
        <v>-10683.25</v>
      </c>
      <c r="F84" s="46">
        <f t="shared" si="43"/>
        <v>-12944.912999999999</v>
      </c>
      <c r="G84" s="46">
        <f t="shared" si="43"/>
        <v>2008.4429999999957</v>
      </c>
      <c r="H84" s="46">
        <f t="shared" si="43"/>
        <v>11292.5</v>
      </c>
      <c r="I84" s="46">
        <f t="shared" si="43"/>
        <v>18651.212000000007</v>
      </c>
      <c r="J84" s="46">
        <f t="shared" si="43"/>
        <v>21456.431000000004</v>
      </c>
      <c r="K84" s="46">
        <f t="shared" si="43"/>
        <v>18013.451000000005</v>
      </c>
      <c r="L84" s="46">
        <f t="shared" si="43"/>
        <v>21753.800000000003</v>
      </c>
      <c r="M84" s="46">
        <f t="shared" si="43"/>
        <v>26075.099999999991</v>
      </c>
    </row>
    <row r="85" spans="1:13" ht="18" customHeight="1">
      <c r="A85" s="41"/>
      <c r="B85" s="24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</row>
    <row r="86" spans="1:13" ht="18" customHeight="1">
      <c r="A86" s="41"/>
      <c r="B86" s="24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</row>
    <row r="87" spans="1:13" ht="18" customHeight="1">
      <c r="A87" s="40" t="s">
        <v>174</v>
      </c>
      <c r="B87" s="24" t="s">
        <v>175</v>
      </c>
      <c r="C87" s="48">
        <f>'03_Raw_Operating_KPIs'!C9</f>
        <v>42.83</v>
      </c>
      <c r="D87" s="48">
        <f>'03_Raw_Operating_KPIs'!D9</f>
        <v>54.58</v>
      </c>
      <c r="E87" s="48">
        <f>'03_Raw_Operating_KPIs'!E9</f>
        <v>63.5</v>
      </c>
      <c r="F87" s="48">
        <f>'03_Raw_Operating_KPIs'!F9</f>
        <v>81</v>
      </c>
      <c r="G87" s="48">
        <f>'03_Raw_Operating_KPIs'!G9</f>
        <v>96.2</v>
      </c>
      <c r="H87" s="48">
        <f>'03_Raw_Operating_KPIs'!H9</f>
        <v>45.4</v>
      </c>
      <c r="I87" s="48">
        <f>'03_Raw_Operating_KPIs'!I9</f>
        <v>70.400000000000006</v>
      </c>
      <c r="J87" s="48">
        <f>'03_Raw_Operating_KPIs'!J9</f>
        <v>114.4</v>
      </c>
      <c r="K87" s="48">
        <f>'03_Raw_Operating_KPIs'!K9</f>
        <v>139.30000000000001</v>
      </c>
      <c r="L87" s="48">
        <f>'03_Raw_Operating_KPIs'!L9</f>
        <v>157.5</v>
      </c>
      <c r="M87" s="48">
        <f>'03_Raw_Operating_KPIs'!M9</f>
        <v>172.4</v>
      </c>
    </row>
    <row r="88" spans="1:13" ht="18" customHeight="1">
      <c r="A88" s="40" t="s">
        <v>176</v>
      </c>
      <c r="B88" s="24" t="s">
        <v>175</v>
      </c>
      <c r="C88" s="48">
        <f>'03_Raw_Operating_KPIs'!C10</f>
        <v>35.97</v>
      </c>
      <c r="D88" s="48">
        <f>'03_Raw_Operating_KPIs'!D10</f>
        <v>46.29</v>
      </c>
      <c r="E88" s="48">
        <f>'03_Raw_Operating_KPIs'!E10</f>
        <v>55.5</v>
      </c>
      <c r="F88" s="48">
        <f>'03_Raw_Operating_KPIs'!F10</f>
        <v>69.8</v>
      </c>
      <c r="G88" s="48">
        <f>'03_Raw_Operating_KPIs'!G10</f>
        <v>82.5</v>
      </c>
      <c r="H88" s="48">
        <f>'03_Raw_Operating_KPIs'!H10</f>
        <v>31.5</v>
      </c>
      <c r="I88" s="48">
        <f>'03_Raw_Operating_KPIs'!I10</f>
        <v>51.8</v>
      </c>
      <c r="J88" s="48">
        <f>'03_Raw_Operating_KPIs'!J10</f>
        <v>93.9</v>
      </c>
      <c r="K88" s="48">
        <f>'03_Raw_Operating_KPIs'!K10</f>
        <v>119.7</v>
      </c>
      <c r="L88" s="48">
        <f>'03_Raw_Operating_KPIs'!L10</f>
        <v>135.4</v>
      </c>
      <c r="M88" s="48">
        <f>'03_Raw_Operating_KPIs'!M10</f>
        <v>145.5</v>
      </c>
    </row>
    <row r="89" spans="1:13" ht="18" customHeight="1">
      <c r="A89" s="40" t="s">
        <v>179</v>
      </c>
      <c r="B89" s="24" t="s">
        <v>180</v>
      </c>
      <c r="C89" s="48">
        <f>'03_Raw_Operating_KPIs'!C12</f>
        <v>33.103999999999999</v>
      </c>
      <c r="D89" s="48">
        <f>'03_Raw_Operating_KPIs'!D12</f>
        <v>43.531999999999996</v>
      </c>
      <c r="E89" s="48">
        <f>'03_Raw_Operating_KPIs'!E12</f>
        <v>52.142000000000003</v>
      </c>
      <c r="F89" s="48">
        <f>'03_Raw_Operating_KPIs'!F12</f>
        <v>64.742999999999995</v>
      </c>
      <c r="G89" s="48">
        <f>'03_Raw_Operating_KPIs'!G12</f>
        <v>75.025999999999996</v>
      </c>
      <c r="H89" s="48">
        <f>'03_Raw_Operating_KPIs'!H12</f>
        <v>30.7</v>
      </c>
      <c r="I89" s="48">
        <f>'03_Raw_Operating_KPIs'!I12</f>
        <v>49.8</v>
      </c>
      <c r="J89" s="48">
        <f>'03_Raw_Operating_KPIs'!J12</f>
        <v>85.6</v>
      </c>
      <c r="K89" s="48">
        <f>'03_Raw_Operating_KPIs'!K12</f>
        <v>106.7</v>
      </c>
      <c r="L89" s="48">
        <f>'03_Raw_Operating_KPIs'!L12</f>
        <v>118.6</v>
      </c>
      <c r="M89" s="48">
        <f>'03_Raw_Operating_KPIs'!M12</f>
        <v>123.4</v>
      </c>
    </row>
    <row r="90" spans="1:13" ht="18" customHeight="1">
      <c r="A90" s="40" t="s">
        <v>190</v>
      </c>
      <c r="B90" s="24" t="s">
        <v>191</v>
      </c>
      <c r="C90" s="49">
        <f>'03_Raw_Operating_KPIs'!C22</f>
        <v>107</v>
      </c>
      <c r="D90" s="49">
        <f>'03_Raw_Operating_KPIs'!D22</f>
        <v>131</v>
      </c>
      <c r="E90" s="49">
        <f>'03_Raw_Operating_KPIs'!E22</f>
        <v>159</v>
      </c>
      <c r="F90" s="49">
        <f>'03_Raw_Operating_KPIs'!F22</f>
        <v>217</v>
      </c>
      <c r="G90" s="49">
        <f>'03_Raw_Operating_KPIs'!G22</f>
        <v>262</v>
      </c>
      <c r="H90" s="49">
        <f>'03_Raw_Operating_KPIs'!H22</f>
        <v>285</v>
      </c>
      <c r="I90" s="49">
        <f>'03_Raw_Operating_KPIs'!I22</f>
        <v>275</v>
      </c>
      <c r="J90" s="49">
        <f>'03_Raw_Operating_KPIs'!J22</f>
        <v>304</v>
      </c>
      <c r="K90" s="49">
        <f>'03_Raw_Operating_KPIs'!K22</f>
        <v>367</v>
      </c>
      <c r="L90" s="49">
        <f>'03_Raw_Operating_KPIs'!L22</f>
        <v>434</v>
      </c>
      <c r="M90" s="49">
        <f>'03_Raw_Operating_KPIs'!M22</f>
        <v>441</v>
      </c>
    </row>
    <row r="91" spans="1:13" ht="18" customHeight="1">
      <c r="A91" s="40" t="s">
        <v>197</v>
      </c>
      <c r="B91" s="24" t="s">
        <v>196</v>
      </c>
      <c r="C91" s="49">
        <f>'03_Raw_Operating_KPIs'!C26</f>
        <v>5</v>
      </c>
      <c r="D91" s="49">
        <f>'03_Raw_Operating_KPIs'!D26</f>
        <v>6</v>
      </c>
      <c r="E91" s="49">
        <f>'03_Raw_Operating_KPIs'!E26</f>
        <v>8</v>
      </c>
      <c r="F91" s="49">
        <f>'03_Raw_Operating_KPIs'!F26</f>
        <v>16</v>
      </c>
      <c r="G91" s="49">
        <f>'03_Raw_Operating_KPIs'!G26</f>
        <v>24</v>
      </c>
      <c r="H91" s="49">
        <f>'03_Raw_Operating_KPIs'!H26</f>
        <v>10</v>
      </c>
      <c r="I91" s="49">
        <f>'03_Raw_Operating_KPIs'!I26</f>
        <v>15</v>
      </c>
      <c r="J91" s="49">
        <f>'03_Raw_Operating_KPIs'!J26</f>
        <v>22</v>
      </c>
      <c r="K91" s="49">
        <f>'03_Raw_Operating_KPIs'!K26</f>
        <v>30</v>
      </c>
      <c r="L91" s="49">
        <f>'03_Raw_Operating_KPIs'!L26</f>
        <v>40</v>
      </c>
      <c r="M91" s="49">
        <f>'03_Raw_Operating_KPIs'!M26</f>
        <v>45</v>
      </c>
    </row>
    <row r="92" spans="1:13" ht="18" customHeight="1">
      <c r="A92" s="40" t="s">
        <v>193</v>
      </c>
      <c r="B92" s="24" t="s">
        <v>194</v>
      </c>
      <c r="C92" s="49">
        <f>'03_Raw_Operating_KPIs'!C24</f>
        <v>731</v>
      </c>
      <c r="D92" s="49">
        <f>'03_Raw_Operating_KPIs'!D24</f>
        <v>896</v>
      </c>
      <c r="E92" s="49">
        <f>'03_Raw_Operating_KPIs'!E24</f>
        <v>1086</v>
      </c>
      <c r="F92" s="49">
        <f>'03_Raw_Operating_KPIs'!F24</f>
        <v>1376</v>
      </c>
      <c r="G92" s="49">
        <f>'03_Raw_Operating_KPIs'!G24</f>
        <v>1674</v>
      </c>
      <c r="H92" s="49">
        <f>'03_Raw_Operating_KPIs'!H24</f>
        <v>1301</v>
      </c>
      <c r="I92" s="49">
        <f>'03_Raw_Operating_KPIs'!I24</f>
        <v>1577</v>
      </c>
      <c r="J92" s="49">
        <f>'03_Raw_Operating_KPIs'!J24</f>
        <v>1815</v>
      </c>
      <c r="K92" s="49">
        <f>'03_Raw_Operating_KPIs'!K24</f>
        <v>2021</v>
      </c>
      <c r="L92" s="49">
        <f>'03_Raw_Operating_KPIs'!L24</f>
        <v>2304</v>
      </c>
      <c r="M92" s="49">
        <f>'03_Raw_Operating_KPIs'!M24</f>
        <v>2241</v>
      </c>
    </row>
    <row r="93" spans="1:13" ht="18" customHeight="1">
      <c r="A93" s="40" t="s">
        <v>177</v>
      </c>
      <c r="B93" s="24" t="s">
        <v>178</v>
      </c>
      <c r="C93" s="50">
        <f>'03_Raw_Operating_KPIs'!C11</f>
        <v>0.83983189353257059</v>
      </c>
      <c r="D93" s="50">
        <f>'03_Raw_Operating_KPIs'!D11</f>
        <v>0.84811286185415902</v>
      </c>
      <c r="E93" s="50">
        <f>'03_Raw_Operating_KPIs'!E11</f>
        <v>0.87401574803149606</v>
      </c>
      <c r="F93" s="50">
        <f>'03_Raw_Operating_KPIs'!F11</f>
        <v>0.86172839506172838</v>
      </c>
      <c r="G93" s="50">
        <f>'03_Raw_Operating_KPIs'!G11</f>
        <v>0.85758835758835761</v>
      </c>
      <c r="H93" s="50">
        <f>'03_Raw_Operating_KPIs'!H11</f>
        <v>0.69383259911894279</v>
      </c>
      <c r="I93" s="50">
        <f>'03_Raw_Operating_KPIs'!I11</f>
        <v>0.73579545454545447</v>
      </c>
      <c r="J93" s="50">
        <f>'03_Raw_Operating_KPIs'!J11</f>
        <v>0.82080419580419584</v>
      </c>
      <c r="K93" s="50">
        <f>'03_Raw_Operating_KPIs'!K11</f>
        <v>0.85929648241206025</v>
      </c>
      <c r="L93" s="50">
        <f>'03_Raw_Operating_KPIs'!L11</f>
        <v>0.85968253968253971</v>
      </c>
      <c r="M93" s="50">
        <f>'03_Raw_Operating_KPIs'!M11</f>
        <v>0.84396751740139209</v>
      </c>
    </row>
    <row r="94" spans="1:13" ht="18" customHeight="1">
      <c r="A94" s="40" t="s">
        <v>182</v>
      </c>
      <c r="B94" s="24" t="s">
        <v>183</v>
      </c>
      <c r="C94" s="51">
        <f>'03_Raw_Operating_KPIs'!C15</f>
        <v>3.91</v>
      </c>
      <c r="D94" s="51">
        <f>'03_Raw_Operating_KPIs'!D15</f>
        <v>3.5</v>
      </c>
      <c r="E94" s="51">
        <f>'03_Raw_Operating_KPIs'!E15</f>
        <v>3.59</v>
      </c>
      <c r="F94" s="51">
        <f>'03_Raw_Operating_KPIs'!F15</f>
        <v>3.6</v>
      </c>
      <c r="G94" s="51">
        <f>'03_Raw_Operating_KPIs'!G15</f>
        <v>3.81</v>
      </c>
      <c r="H94" s="51">
        <f>'03_Raw_Operating_KPIs'!H15</f>
        <v>3.76</v>
      </c>
      <c r="I94" s="51">
        <f>'03_Raw_Operating_KPIs'!I15</f>
        <v>4.24</v>
      </c>
      <c r="J94" s="51">
        <f>'03_Raw_Operating_KPIs'!J15</f>
        <v>5.13</v>
      </c>
      <c r="K94" s="51">
        <f>'03_Raw_Operating_KPIs'!K15</f>
        <v>5.08</v>
      </c>
      <c r="L94" s="51">
        <f>'03_Raw_Operating_KPIs'!L15</f>
        <v>5.15</v>
      </c>
      <c r="M94" s="51">
        <f>'03_Raw_Operating_KPIs'!M15</f>
        <v>5.0599999999999996</v>
      </c>
    </row>
    <row r="95" spans="1:13" ht="18" customHeight="1">
      <c r="A95" s="40" t="s">
        <v>184</v>
      </c>
      <c r="B95" s="24" t="s">
        <v>185</v>
      </c>
      <c r="C95" s="51">
        <f>'03_Raw_Operating_KPIs'!C16</f>
        <v>3.78</v>
      </c>
      <c r="D95" s="51">
        <f>'03_Raw_Operating_KPIs'!D16</f>
        <v>3.44</v>
      </c>
      <c r="E95" s="51">
        <f>'03_Raw_Operating_KPIs'!E16</f>
        <v>3.64</v>
      </c>
      <c r="F95" s="51">
        <f>'03_Raw_Operating_KPIs'!F16</f>
        <v>3.57</v>
      </c>
      <c r="G95" s="51">
        <f>'03_Raw_Operating_KPIs'!G16</f>
        <v>3.77</v>
      </c>
      <c r="H95" s="51">
        <f>'03_Raw_Operating_KPIs'!H16</f>
        <v>3.3</v>
      </c>
      <c r="I95" s="51">
        <f>'03_Raw_Operating_KPIs'!I16</f>
        <v>3.73</v>
      </c>
      <c r="J95" s="51">
        <f>'03_Raw_Operating_KPIs'!J16</f>
        <v>4.8</v>
      </c>
      <c r="K95" s="51">
        <f>'03_Raw_Operating_KPIs'!K16</f>
        <v>4.96</v>
      </c>
      <c r="L95" s="51">
        <f>'03_Raw_Operating_KPIs'!L16</f>
        <v>5.14</v>
      </c>
      <c r="M95" s="51">
        <f>'03_Raw_Operating_KPIs'!M16</f>
        <v>4.99</v>
      </c>
    </row>
    <row r="96" spans="1:13" ht="18" customHeight="1">
      <c r="A96" s="40" t="s">
        <v>186</v>
      </c>
      <c r="B96" s="24" t="s">
        <v>185</v>
      </c>
      <c r="C96" s="51">
        <f>'03_Raw_Operating_KPIs'!C17</f>
        <v>3.12</v>
      </c>
      <c r="D96" s="51">
        <f>'03_Raw_Operating_KPIs'!D17</f>
        <v>3.04</v>
      </c>
      <c r="E96" s="51">
        <f>'03_Raw_Operating_KPIs'!E17</f>
        <v>3.15</v>
      </c>
      <c r="F96" s="51">
        <f>'03_Raw_Operating_KPIs'!F17</f>
        <v>3.59</v>
      </c>
      <c r="G96" s="51">
        <f>'03_Raw_Operating_KPIs'!G17</f>
        <v>3.8</v>
      </c>
      <c r="H96" s="51">
        <f>'03_Raw_Operating_KPIs'!H17</f>
        <v>4.58</v>
      </c>
      <c r="I96" s="51">
        <f>'03_Raw_Operating_KPIs'!I17</f>
        <v>4.5999999999999996</v>
      </c>
      <c r="J96" s="51">
        <f>'03_Raw_Operating_KPIs'!J17</f>
        <v>4.83</v>
      </c>
      <c r="K96" s="51">
        <f>'03_Raw_Operating_KPIs'!K17</f>
        <v>4.38</v>
      </c>
      <c r="L96" s="51">
        <f>'03_Raw_Operating_KPIs'!L17</f>
        <v>4.66</v>
      </c>
      <c r="M96" s="51">
        <f>'03_Raw_Operating_KPIs'!M17</f>
        <v>5</v>
      </c>
    </row>
    <row r="97" spans="1:13" ht="18" customHeight="1">
      <c r="A97" s="40" t="s">
        <v>187</v>
      </c>
      <c r="B97" s="24" t="s">
        <v>185</v>
      </c>
      <c r="C97" s="51">
        <f>'03_Raw_Operating_KPIs'!C18</f>
        <v>2.0099999999999998</v>
      </c>
      <c r="D97" s="51">
        <f>'03_Raw_Operating_KPIs'!D18</f>
        <v>1.88</v>
      </c>
      <c r="E97" s="51">
        <f>'03_Raw_Operating_KPIs'!E18</f>
        <v>1.93</v>
      </c>
      <c r="F97" s="51">
        <f>'03_Raw_Operating_KPIs'!F18</f>
        <v>2.11</v>
      </c>
      <c r="G97" s="51">
        <f>'03_Raw_Operating_KPIs'!G18</f>
        <v>2.5</v>
      </c>
      <c r="H97" s="51">
        <f>'03_Raw_Operating_KPIs'!H18</f>
        <v>3.74</v>
      </c>
      <c r="I97" s="51">
        <f>'03_Raw_Operating_KPIs'!I18</f>
        <v>3.22</v>
      </c>
      <c r="J97" s="51">
        <f>'03_Raw_Operating_KPIs'!J18</f>
        <v>2.76</v>
      </c>
      <c r="K97" s="51">
        <f>'03_Raw_Operating_KPIs'!K18</f>
        <v>2.66</v>
      </c>
      <c r="L97" s="51">
        <f>'03_Raw_Operating_KPIs'!L18</f>
        <v>3</v>
      </c>
      <c r="M97" s="51">
        <f>'03_Raw_Operating_KPIs'!M18</f>
        <v>3.52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96"/>
  <sheetViews>
    <sheetView showGridLines="0" zoomScale="110" zoomScaleNormal="110" workbookViewId="0">
      <pane xSplit="2" ySplit="5" topLeftCell="C78" activePane="bottomRight" state="frozen"/>
      <selection pane="topRight" activeCell="C1" sqref="C1"/>
      <selection pane="bottomLeft" activeCell="A6" sqref="A6"/>
      <selection pane="bottomRight" activeCell="L14" sqref="L14"/>
    </sheetView>
  </sheetViews>
  <sheetFormatPr baseColWidth="10" defaultColWidth="8.83203125" defaultRowHeight="14"/>
  <cols>
    <col min="1" max="1" width="28.83203125" customWidth="1"/>
    <col min="2" max="2" width="20" customWidth="1"/>
    <col min="3" max="3" width="8.5" customWidth="1"/>
    <col min="4" max="6" width="7.6640625" bestFit="1" customWidth="1"/>
    <col min="7" max="10" width="8.83203125" bestFit="1" customWidth="1"/>
  </cols>
  <sheetData>
    <row r="1" spans="1:10" ht="26" customHeight="1">
      <c r="A1" s="200" t="s">
        <v>260</v>
      </c>
      <c r="B1" s="200"/>
      <c r="C1" s="200"/>
      <c r="D1" s="200"/>
      <c r="E1" s="200"/>
      <c r="F1" s="200"/>
      <c r="G1" s="200"/>
      <c r="H1" s="200"/>
      <c r="I1" s="200"/>
      <c r="J1" s="200"/>
    </row>
    <row r="2" spans="1:10" ht="30" customHeight="1">
      <c r="A2" s="148" t="s">
        <v>261</v>
      </c>
      <c r="B2" s="148"/>
      <c r="C2" s="148"/>
      <c r="D2" s="148"/>
      <c r="E2" s="148"/>
      <c r="F2" s="148"/>
      <c r="G2" s="148"/>
      <c r="H2" s="148"/>
      <c r="I2" s="148"/>
      <c r="J2" s="148"/>
    </row>
    <row r="3" spans="1:10" ht="34" customHeight="1">
      <c r="A3" s="149" t="s">
        <v>509</v>
      </c>
      <c r="B3" s="149"/>
      <c r="C3" s="149"/>
      <c r="D3" s="149"/>
      <c r="E3" s="149"/>
      <c r="F3" s="149"/>
      <c r="G3" s="149"/>
      <c r="H3" s="149"/>
      <c r="I3" s="149"/>
      <c r="J3" s="149"/>
    </row>
    <row r="4" spans="1:10" ht="15">
      <c r="A4" s="59"/>
      <c r="B4" s="59"/>
      <c r="C4" s="59"/>
      <c r="D4" s="59"/>
      <c r="E4" s="59"/>
      <c r="F4" s="59"/>
      <c r="G4" s="59"/>
      <c r="H4" s="59"/>
      <c r="I4" s="59"/>
      <c r="J4" s="59"/>
    </row>
    <row r="5" spans="1:10" ht="15" customHeight="1">
      <c r="A5" s="60" t="s">
        <v>8</v>
      </c>
      <c r="B5" s="60" t="s">
        <v>9</v>
      </c>
      <c r="C5" s="71" t="s">
        <v>262</v>
      </c>
      <c r="D5" s="71" t="s">
        <v>263</v>
      </c>
      <c r="E5" s="71" t="s">
        <v>264</v>
      </c>
      <c r="F5" s="73" t="s">
        <v>265</v>
      </c>
      <c r="G5" s="73" t="s">
        <v>266</v>
      </c>
      <c r="H5" s="73" t="s">
        <v>267</v>
      </c>
      <c r="I5" s="73" t="s">
        <v>268</v>
      </c>
      <c r="J5" s="73" t="s">
        <v>269</v>
      </c>
    </row>
    <row r="6" spans="1:10" ht="15" customHeight="1">
      <c r="A6" s="59" t="s">
        <v>129</v>
      </c>
      <c r="B6" s="59"/>
      <c r="C6" s="72" t="s">
        <v>270</v>
      </c>
      <c r="D6" s="72" t="s">
        <v>270</v>
      </c>
      <c r="E6" s="72" t="s">
        <v>270</v>
      </c>
      <c r="F6" s="74" t="s">
        <v>271</v>
      </c>
      <c r="G6" s="74" t="s">
        <v>271</v>
      </c>
      <c r="H6" s="74" t="s">
        <v>271</v>
      </c>
      <c r="I6" s="74" t="s">
        <v>271</v>
      </c>
      <c r="J6" s="74" t="s">
        <v>271</v>
      </c>
    </row>
    <row r="7" spans="1:10" ht="15" customHeight="1">
      <c r="A7" s="59"/>
      <c r="B7" s="59"/>
      <c r="C7" s="59"/>
      <c r="D7" s="59"/>
      <c r="E7" s="59"/>
      <c r="F7" s="59"/>
      <c r="G7" s="59"/>
      <c r="H7" s="59"/>
      <c r="I7" s="59"/>
      <c r="J7" s="59"/>
    </row>
    <row r="8" spans="1:10" ht="15" customHeight="1">
      <c r="A8" s="61" t="s">
        <v>272</v>
      </c>
      <c r="B8" s="61"/>
      <c r="C8" s="61"/>
      <c r="D8" s="61"/>
      <c r="E8" s="61"/>
      <c r="F8" s="61"/>
      <c r="G8" s="61"/>
      <c r="H8" s="61"/>
      <c r="I8" s="61"/>
      <c r="J8" s="61"/>
    </row>
    <row r="9" spans="1:10" ht="15">
      <c r="A9" s="59" t="s">
        <v>273</v>
      </c>
      <c r="B9" s="59" t="s">
        <v>191</v>
      </c>
      <c r="C9" s="75">
        <f>'03_Raw_Operating_KPIs'!J22</f>
        <v>304</v>
      </c>
      <c r="D9" s="75">
        <f>'03_Raw_Operating_KPIs'!K22</f>
        <v>367</v>
      </c>
      <c r="E9" s="75">
        <f>'03_Raw_Operating_KPIs'!L22</f>
        <v>434</v>
      </c>
      <c r="F9" s="76">
        <f>E13</f>
        <v>441</v>
      </c>
      <c r="G9" s="76">
        <f>F13</f>
        <v>473</v>
      </c>
      <c r="H9" s="76">
        <f>G13</f>
        <v>511</v>
      </c>
      <c r="I9" s="76">
        <f>H13</f>
        <v>551</v>
      </c>
      <c r="J9" s="76">
        <f>I13</f>
        <v>589</v>
      </c>
    </row>
    <row r="10" spans="1:10" ht="15">
      <c r="A10" s="59" t="s">
        <v>274</v>
      </c>
      <c r="B10" s="59" t="s">
        <v>191</v>
      </c>
      <c r="C10" s="76"/>
      <c r="D10" s="76"/>
      <c r="E10" s="76"/>
      <c r="F10" s="77">
        <v>42</v>
      </c>
      <c r="G10" s="77">
        <v>46</v>
      </c>
      <c r="H10" s="77">
        <v>48</v>
      </c>
      <c r="I10" s="77">
        <v>48</v>
      </c>
      <c r="J10" s="77">
        <v>45</v>
      </c>
    </row>
    <row r="11" spans="1:10" ht="32" customHeight="1">
      <c r="A11" s="59" t="s">
        <v>275</v>
      </c>
      <c r="B11" s="59" t="s">
        <v>191</v>
      </c>
      <c r="C11" s="76"/>
      <c r="D11" s="76"/>
      <c r="E11" s="76"/>
      <c r="F11" s="77">
        <v>10</v>
      </c>
      <c r="G11" s="77">
        <v>8</v>
      </c>
      <c r="H11" s="77">
        <v>8</v>
      </c>
      <c r="I11" s="77">
        <v>10</v>
      </c>
      <c r="J11" s="77">
        <v>10</v>
      </c>
    </row>
    <row r="12" spans="1:10" ht="15">
      <c r="A12" s="59" t="s">
        <v>192</v>
      </c>
      <c r="B12" s="59" t="s">
        <v>191</v>
      </c>
      <c r="C12" s="75">
        <f>'03_Raw_Operating_KPIs'!K23</f>
        <v>63</v>
      </c>
      <c r="D12" s="75">
        <f>'03_Raw_Operating_KPIs'!L23</f>
        <v>67</v>
      </c>
      <c r="E12" s="75">
        <f>'03_Raw_Operating_KPIs'!M23</f>
        <v>7</v>
      </c>
      <c r="F12" s="76">
        <f>F10-F11</f>
        <v>32</v>
      </c>
      <c r="G12" s="76">
        <f>G10-G11</f>
        <v>38</v>
      </c>
      <c r="H12" s="76">
        <f>H10-H11</f>
        <v>40</v>
      </c>
      <c r="I12" s="76">
        <f>I10-I11</f>
        <v>38</v>
      </c>
      <c r="J12" s="76">
        <f>J10-J11</f>
        <v>35</v>
      </c>
    </row>
    <row r="13" spans="1:10" ht="15">
      <c r="A13" s="62" t="s">
        <v>276</v>
      </c>
      <c r="B13" s="62" t="s">
        <v>191</v>
      </c>
      <c r="C13" s="78">
        <f>'03_Raw_Operating_KPIs'!K22</f>
        <v>367</v>
      </c>
      <c r="D13" s="78">
        <f>'03_Raw_Operating_KPIs'!L22</f>
        <v>434</v>
      </c>
      <c r="E13" s="78">
        <f>'03_Raw_Operating_KPIs'!M22</f>
        <v>441</v>
      </c>
      <c r="F13" s="79">
        <f>F9+F12</f>
        <v>473</v>
      </c>
      <c r="G13" s="79">
        <f>G9+G12</f>
        <v>511</v>
      </c>
      <c r="H13" s="79">
        <f>H9+H12</f>
        <v>551</v>
      </c>
      <c r="I13" s="79">
        <f>I9+I12</f>
        <v>589</v>
      </c>
      <c r="J13" s="79">
        <f>J9+J12</f>
        <v>624</v>
      </c>
    </row>
    <row r="14" spans="1:10" ht="15">
      <c r="A14" s="59" t="s">
        <v>208</v>
      </c>
      <c r="B14" s="59" t="s">
        <v>178</v>
      </c>
      <c r="C14" s="65">
        <f t="shared" ref="C14:J14" si="0">C13/C9-1</f>
        <v>0.20723684210526305</v>
      </c>
      <c r="D14" s="65">
        <f t="shared" si="0"/>
        <v>0.18256130790190728</v>
      </c>
      <c r="E14" s="65">
        <f t="shared" si="0"/>
        <v>1.6129032258064502E-2</v>
      </c>
      <c r="F14" s="65">
        <f t="shared" si="0"/>
        <v>7.2562358276643923E-2</v>
      </c>
      <c r="G14" s="65">
        <f t="shared" si="0"/>
        <v>8.0338266384778034E-2</v>
      </c>
      <c r="H14" s="65">
        <f t="shared" si="0"/>
        <v>7.8277886497064575E-2</v>
      </c>
      <c r="I14" s="65">
        <f t="shared" si="0"/>
        <v>6.8965517241379226E-2</v>
      </c>
      <c r="J14" s="65">
        <f t="shared" si="0"/>
        <v>5.9422750424448223E-2</v>
      </c>
    </row>
    <row r="15" spans="1:10" ht="15">
      <c r="A15" s="59" t="s">
        <v>277</v>
      </c>
      <c r="B15" s="59" t="s">
        <v>191</v>
      </c>
      <c r="C15" s="76">
        <f t="shared" ref="C15:J15" si="1">AVERAGE(C9,C13)</f>
        <v>335.5</v>
      </c>
      <c r="D15" s="76">
        <f t="shared" si="1"/>
        <v>400.5</v>
      </c>
      <c r="E15" s="76">
        <f t="shared" si="1"/>
        <v>437.5</v>
      </c>
      <c r="F15" s="76">
        <f t="shared" si="1"/>
        <v>457</v>
      </c>
      <c r="G15" s="76">
        <f t="shared" si="1"/>
        <v>492</v>
      </c>
      <c r="H15" s="76">
        <f t="shared" si="1"/>
        <v>531</v>
      </c>
      <c r="I15" s="76">
        <f t="shared" si="1"/>
        <v>570</v>
      </c>
      <c r="J15" s="76">
        <f t="shared" si="1"/>
        <v>606.5</v>
      </c>
    </row>
    <row r="16" spans="1:10" ht="15">
      <c r="A16" s="59" t="s">
        <v>278</v>
      </c>
      <c r="B16" s="59" t="s">
        <v>279</v>
      </c>
      <c r="C16" s="80">
        <f>'03_Raw_Operating_KPIs'!K9/C15</f>
        <v>0.41520119225037261</v>
      </c>
      <c r="D16" s="80">
        <f>'03_Raw_Operating_KPIs'!L9/D15</f>
        <v>0.39325842696629215</v>
      </c>
      <c r="E16" s="80">
        <f>'03_Raw_Operating_KPIs'!M9/E15</f>
        <v>0.39405714285714288</v>
      </c>
      <c r="F16" s="80">
        <f>E16*(1+F17)</f>
        <v>0.39405714285714288</v>
      </c>
      <c r="G16" s="80">
        <f>F16*(1+G17)</f>
        <v>0.39996799999999999</v>
      </c>
      <c r="H16" s="80">
        <f>G16*(1+H17)</f>
        <v>0.40596751999999997</v>
      </c>
      <c r="I16" s="80">
        <f>H16*(1+I17)</f>
        <v>0.41104211399999996</v>
      </c>
      <c r="J16" s="80">
        <f>I16*(1+J17)</f>
        <v>0.41618014042499996</v>
      </c>
    </row>
    <row r="17" spans="1:10" ht="15">
      <c r="A17" s="59" t="s">
        <v>304</v>
      </c>
      <c r="B17" s="59" t="s">
        <v>178</v>
      </c>
      <c r="C17" s="65"/>
      <c r="D17" s="65">
        <f>D16/C16-1</f>
        <v>-5.2848512224041633E-2</v>
      </c>
      <c r="E17" s="65">
        <f>E16/D16-1</f>
        <v>2.0310204081632754E-3</v>
      </c>
      <c r="F17" s="69">
        <v>0</v>
      </c>
      <c r="G17" s="69">
        <v>1.4999999999999999E-2</v>
      </c>
      <c r="H17" s="69">
        <v>1.4999999999999999E-2</v>
      </c>
      <c r="I17" s="69">
        <v>1.2500000000000001E-2</v>
      </c>
      <c r="J17" s="69">
        <v>1.2500000000000001E-2</v>
      </c>
    </row>
    <row r="18" spans="1:10" ht="15">
      <c r="A18" s="62" t="s">
        <v>174</v>
      </c>
      <c r="B18" s="62" t="s">
        <v>175</v>
      </c>
      <c r="C18" s="67">
        <f>'03_Raw_Operating_KPIs'!K9</f>
        <v>139.30000000000001</v>
      </c>
      <c r="D18" s="67">
        <f>'03_Raw_Operating_KPIs'!L9</f>
        <v>157.5</v>
      </c>
      <c r="E18" s="67">
        <f>'03_Raw_Operating_KPIs'!M9</f>
        <v>172.4</v>
      </c>
      <c r="F18" s="64">
        <f>F15*F16</f>
        <v>180.08411428571429</v>
      </c>
      <c r="G18" s="64">
        <f>G15*G16</f>
        <v>196.784256</v>
      </c>
      <c r="H18" s="64">
        <f>H15*H16</f>
        <v>215.56875312</v>
      </c>
      <c r="I18" s="64">
        <f>I15*I16</f>
        <v>234.29400497999998</v>
      </c>
      <c r="J18" s="64">
        <f>J15*J16</f>
        <v>252.41325516776249</v>
      </c>
    </row>
    <row r="19" spans="1:10" ht="15">
      <c r="A19" s="59" t="s">
        <v>206</v>
      </c>
      <c r="B19" s="59" t="s">
        <v>178</v>
      </c>
      <c r="C19" s="68">
        <f>'05_Historical_Analysis'!K11</f>
        <v>0.21765734265734271</v>
      </c>
      <c r="D19" s="68">
        <f>'05_Historical_Analysis'!L11</f>
        <v>0.13065326633165819</v>
      </c>
      <c r="E19" s="68">
        <f>'05_Historical_Analysis'!M11</f>
        <v>9.4603174603174578E-2</v>
      </c>
      <c r="F19" s="65">
        <f>F18/E18-1</f>
        <v>4.4571428571428484E-2</v>
      </c>
      <c r="G19" s="65">
        <f>G18/F18-1</f>
        <v>9.273522975929982E-2</v>
      </c>
      <c r="H19" s="65">
        <f>H18/G18-1</f>
        <v>9.5457317073170733E-2</v>
      </c>
      <c r="I19" s="65">
        <f>I18/H18-1</f>
        <v>8.6864406779660897E-2</v>
      </c>
      <c r="J19" s="65">
        <f>J18/I18-1</f>
        <v>7.7335526315789549E-2</v>
      </c>
    </row>
    <row r="20" spans="1:10" ht="15">
      <c r="A20" s="59" t="s">
        <v>280</v>
      </c>
      <c r="B20" s="59" t="s">
        <v>191</v>
      </c>
      <c r="C20" s="76">
        <f t="shared" ref="C20:J20" si="2">C13-C9-C12</f>
        <v>0</v>
      </c>
      <c r="D20" s="76">
        <f t="shared" si="2"/>
        <v>0</v>
      </c>
      <c r="E20" s="76">
        <f t="shared" si="2"/>
        <v>0</v>
      </c>
      <c r="F20" s="76">
        <f t="shared" si="2"/>
        <v>0</v>
      </c>
      <c r="G20" s="76">
        <f t="shared" si="2"/>
        <v>0</v>
      </c>
      <c r="H20" s="76">
        <f t="shared" si="2"/>
        <v>0</v>
      </c>
      <c r="I20" s="76">
        <f t="shared" si="2"/>
        <v>0</v>
      </c>
      <c r="J20" s="76">
        <f t="shared" si="2"/>
        <v>0</v>
      </c>
    </row>
    <row r="21" spans="1:10" ht="15">
      <c r="A21" s="59"/>
      <c r="B21" s="59"/>
      <c r="C21" s="59"/>
      <c r="D21" s="59"/>
      <c r="E21" s="59"/>
      <c r="F21" s="59"/>
      <c r="G21" s="59"/>
      <c r="H21" s="59"/>
      <c r="I21" s="59"/>
      <c r="J21" s="59"/>
    </row>
    <row r="22" spans="1:10" ht="15">
      <c r="A22" s="61" t="s">
        <v>281</v>
      </c>
      <c r="B22" s="61"/>
      <c r="C22" s="61"/>
      <c r="D22" s="61"/>
      <c r="E22" s="61"/>
      <c r="F22" s="61"/>
      <c r="G22" s="61"/>
      <c r="H22" s="61"/>
      <c r="I22" s="61"/>
      <c r="J22" s="61"/>
    </row>
    <row r="23" spans="1:10" ht="15">
      <c r="A23" s="59" t="s">
        <v>177</v>
      </c>
      <c r="B23" s="59" t="s">
        <v>178</v>
      </c>
      <c r="C23" s="68">
        <f>'03_Raw_Operating_KPIs'!K11</f>
        <v>0.85929648241206025</v>
      </c>
      <c r="D23" s="68">
        <f>'03_Raw_Operating_KPIs'!L11</f>
        <v>0.85968253968253971</v>
      </c>
      <c r="E23" s="68">
        <f>'03_Raw_Operating_KPIs'!M11</f>
        <v>0.84396751740139209</v>
      </c>
      <c r="F23" s="69">
        <v>0.85</v>
      </c>
      <c r="G23" s="69">
        <v>0.85499999999999998</v>
      </c>
      <c r="H23" s="69">
        <v>0.86</v>
      </c>
      <c r="I23" s="69">
        <v>0.86499999999999999</v>
      </c>
      <c r="J23" s="69">
        <v>0.86499999999999999</v>
      </c>
    </row>
    <row r="24" spans="1:10" ht="15">
      <c r="A24" s="62" t="s">
        <v>176</v>
      </c>
      <c r="B24" s="62" t="s">
        <v>175</v>
      </c>
      <c r="C24" s="67">
        <f>'03_Raw_Operating_KPIs'!K10</f>
        <v>119.7</v>
      </c>
      <c r="D24" s="67">
        <f>'03_Raw_Operating_KPIs'!L10</f>
        <v>135.4</v>
      </c>
      <c r="E24" s="67">
        <f>'03_Raw_Operating_KPIs'!M10</f>
        <v>145.5</v>
      </c>
      <c r="F24" s="64">
        <f>F18*F23</f>
        <v>153.07149714285714</v>
      </c>
      <c r="G24" s="64">
        <f>G18*G23</f>
        <v>168.25053887999999</v>
      </c>
      <c r="H24" s="64">
        <f>H18*H23</f>
        <v>185.3891276832</v>
      </c>
      <c r="I24" s="64">
        <f>I18*I23</f>
        <v>202.66431430769998</v>
      </c>
      <c r="J24" s="64">
        <f>J18*J23</f>
        <v>218.33746572011455</v>
      </c>
    </row>
    <row r="25" spans="1:10" ht="15">
      <c r="A25" s="59" t="s">
        <v>207</v>
      </c>
      <c r="B25" s="59" t="s">
        <v>178</v>
      </c>
      <c r="C25" s="68">
        <f>'05_Historical_Analysis'!K12</f>
        <v>0.27476038338658149</v>
      </c>
      <c r="D25" s="68">
        <f>'05_Historical_Analysis'!L12</f>
        <v>0.13116123642439437</v>
      </c>
      <c r="E25" s="68">
        <f>'05_Historical_Analysis'!M12</f>
        <v>7.4593796159527326E-2</v>
      </c>
      <c r="F25" s="65">
        <f>F24/E24-1</f>
        <v>5.2037781050564558E-2</v>
      </c>
      <c r="G25" s="65">
        <f>G24/F24-1</f>
        <v>9.9163084052001471E-2</v>
      </c>
      <c r="H25" s="65">
        <f>H24/G24-1</f>
        <v>0.10186350021394963</v>
      </c>
      <c r="I25" s="65">
        <f>I24/H24-1</f>
        <v>9.3183385888844894E-2</v>
      </c>
      <c r="J25" s="65">
        <f>J24/I24-1</f>
        <v>7.7335526315789549E-2</v>
      </c>
    </row>
    <row r="26" spans="1:10" ht="15">
      <c r="A26" s="59" t="s">
        <v>282</v>
      </c>
      <c r="B26" s="59" t="s">
        <v>283</v>
      </c>
      <c r="C26" s="80">
        <f>C24/C28</f>
        <v>1.1218369259606373</v>
      </c>
      <c r="D26" s="80">
        <f>D24/D28</f>
        <v>1.1416526138279934</v>
      </c>
      <c r="E26" s="80">
        <f>E24/E28</f>
        <v>1.1790923824959481</v>
      </c>
      <c r="F26" s="80">
        <f>E26*(1+F27)</f>
        <v>1.2026742301458671</v>
      </c>
      <c r="G26" s="80">
        <f>F26*(1+G27)</f>
        <v>1.2267277147487845</v>
      </c>
      <c r="H26" s="80">
        <f>G26*(1+H27)</f>
        <v>1.2512622690437603</v>
      </c>
      <c r="I26" s="80">
        <f>H26*(1+I27)</f>
        <v>1.2700312030794165</v>
      </c>
      <c r="J26" s="80">
        <f>I26*(1+J27)</f>
        <v>1.2890816711256077</v>
      </c>
    </row>
    <row r="27" spans="1:10" ht="15">
      <c r="A27" s="59" t="s">
        <v>305</v>
      </c>
      <c r="B27" s="59" t="s">
        <v>178</v>
      </c>
      <c r="C27" s="65"/>
      <c r="D27" s="65">
        <f>D26/C26-1</f>
        <v>1.7663608149096843E-2</v>
      </c>
      <c r="E27" s="65">
        <f>E26/D26-1</f>
        <v>3.2794361624958857E-2</v>
      </c>
      <c r="F27" s="69">
        <v>0.02</v>
      </c>
      <c r="G27" s="69">
        <v>0.02</v>
      </c>
      <c r="H27" s="69">
        <v>0.02</v>
      </c>
      <c r="I27" s="69">
        <v>1.4999999999999999E-2</v>
      </c>
      <c r="J27" s="69">
        <v>1.4999999999999999E-2</v>
      </c>
    </row>
    <row r="28" spans="1:10" ht="15">
      <c r="A28" s="62" t="s">
        <v>179</v>
      </c>
      <c r="B28" s="62" t="s">
        <v>180</v>
      </c>
      <c r="C28" s="67">
        <f>'03_Raw_Operating_KPIs'!K12</f>
        <v>106.7</v>
      </c>
      <c r="D28" s="67">
        <f>'03_Raw_Operating_KPIs'!L12</f>
        <v>118.6</v>
      </c>
      <c r="E28" s="67">
        <f>'03_Raw_Operating_KPIs'!M12</f>
        <v>123.4</v>
      </c>
      <c r="F28" s="64">
        <f>F24/F26</f>
        <v>127.27594331533301</v>
      </c>
      <c r="G28" s="64">
        <f>G24/G26</f>
        <v>137.1539395883423</v>
      </c>
      <c r="H28" s="64">
        <f>H24/H26</f>
        <v>148.16168621857199</v>
      </c>
      <c r="I28" s="64">
        <f>I24/I26</f>
        <v>159.57427960533909</v>
      </c>
      <c r="J28" s="64">
        <f>J24/J26</f>
        <v>169.37442414293687</v>
      </c>
    </row>
    <row r="29" spans="1:10" ht="15">
      <c r="A29" s="59" t="s">
        <v>205</v>
      </c>
      <c r="B29" s="59" t="s">
        <v>178</v>
      </c>
      <c r="C29" s="68">
        <f>'05_Historical_Analysis'!K10</f>
        <v>0.24649532710280386</v>
      </c>
      <c r="D29" s="68">
        <f>'05_Historical_Analysis'!L10</f>
        <v>0.11152764761012168</v>
      </c>
      <c r="E29" s="68">
        <f>'05_Historical_Analysis'!M10</f>
        <v>4.0472175379426822E-2</v>
      </c>
      <c r="F29" s="65">
        <f>F28/E28-1</f>
        <v>3.1409589265259275E-2</v>
      </c>
      <c r="G29" s="65">
        <f>G28/F28-1</f>
        <v>7.7610866717648497E-2</v>
      </c>
      <c r="H29" s="65">
        <f>H28/G28-1</f>
        <v>8.0258333543087756E-2</v>
      </c>
      <c r="I29" s="65">
        <f>I28/H28-1</f>
        <v>7.7027966392950953E-2</v>
      </c>
      <c r="J29" s="65">
        <f>J28/I28-1</f>
        <v>6.1414311641171837E-2</v>
      </c>
    </row>
    <row r="30" spans="1:10" ht="15">
      <c r="A30" s="59" t="s">
        <v>284</v>
      </c>
      <c r="B30" s="59" t="s">
        <v>175</v>
      </c>
      <c r="C30" s="59">
        <f t="shared" ref="C30:J30" si="3">C24-C18*C23</f>
        <v>0</v>
      </c>
      <c r="D30" s="59">
        <f t="shared" si="3"/>
        <v>0</v>
      </c>
      <c r="E30" s="59">
        <f t="shared" si="3"/>
        <v>0</v>
      </c>
      <c r="F30" s="59">
        <f t="shared" si="3"/>
        <v>0</v>
      </c>
      <c r="G30" s="59">
        <f t="shared" si="3"/>
        <v>0</v>
      </c>
      <c r="H30" s="59">
        <f t="shared" si="3"/>
        <v>0</v>
      </c>
      <c r="I30" s="59">
        <f t="shared" si="3"/>
        <v>0</v>
      </c>
      <c r="J30" s="59">
        <f t="shared" si="3"/>
        <v>0</v>
      </c>
    </row>
    <row r="31" spans="1:10" ht="15">
      <c r="A31" s="59"/>
      <c r="B31" s="59"/>
      <c r="C31" s="59"/>
      <c r="D31" s="59"/>
      <c r="E31" s="59"/>
      <c r="F31" s="59"/>
      <c r="G31" s="59"/>
      <c r="H31" s="59"/>
      <c r="I31" s="59"/>
      <c r="J31" s="59"/>
    </row>
    <row r="32" spans="1:10" ht="15">
      <c r="A32" s="61" t="s">
        <v>285</v>
      </c>
      <c r="B32" s="61"/>
      <c r="C32" s="61"/>
      <c r="D32" s="61"/>
      <c r="E32" s="61"/>
      <c r="F32" s="61"/>
      <c r="G32" s="61"/>
      <c r="H32" s="61"/>
      <c r="I32" s="61"/>
      <c r="J32" s="61"/>
    </row>
    <row r="33" spans="1:10" ht="15">
      <c r="A33" s="59" t="s">
        <v>182</v>
      </c>
      <c r="B33" s="59" t="s">
        <v>183</v>
      </c>
      <c r="C33" s="81">
        <f>'03_Raw_Operating_KPIs'!K15</f>
        <v>5.08</v>
      </c>
      <c r="D33" s="81">
        <f>'03_Raw_Operating_KPIs'!L15</f>
        <v>5.15</v>
      </c>
      <c r="E33" s="81">
        <f>'03_Raw_Operating_KPIs'!M15</f>
        <v>5.0599999999999996</v>
      </c>
      <c r="F33" s="80">
        <f>E33*(1+F34)</f>
        <v>5.4648000000000003</v>
      </c>
      <c r="G33" s="80">
        <f>F33*(1+G34)</f>
        <v>5.6560680000000003</v>
      </c>
      <c r="H33" s="80">
        <f>G33*(1+H34)</f>
        <v>5.8257500400000009</v>
      </c>
      <c r="I33" s="80">
        <f>H33*(1+I34)</f>
        <v>5.9713937910000006</v>
      </c>
      <c r="J33" s="80">
        <f>I33*(1+J34)</f>
        <v>6.1206786357750005</v>
      </c>
    </row>
    <row r="34" spans="1:10" ht="15">
      <c r="A34" s="59" t="s">
        <v>306</v>
      </c>
      <c r="B34" s="59" t="s">
        <v>178</v>
      </c>
      <c r="C34" s="65"/>
      <c r="D34" s="65">
        <f>D33/C33-1</f>
        <v>1.3779527559055094E-2</v>
      </c>
      <c r="E34" s="65">
        <f>E33/D33-1</f>
        <v>-1.7475728155339931E-2</v>
      </c>
      <c r="F34" s="69">
        <v>0.08</v>
      </c>
      <c r="G34" s="69">
        <v>3.5000000000000003E-2</v>
      </c>
      <c r="H34" s="69">
        <v>0.03</v>
      </c>
      <c r="I34" s="69">
        <v>2.5000000000000001E-2</v>
      </c>
      <c r="J34" s="69">
        <v>2.5000000000000001E-2</v>
      </c>
    </row>
    <row r="35" spans="1:10" ht="15">
      <c r="A35" s="59" t="s">
        <v>331</v>
      </c>
      <c r="B35" s="59" t="s">
        <v>185</v>
      </c>
      <c r="C35" s="121">
        <f t="shared" ref="C35:J35" si="4">C33*C23</f>
        <v>4.3652261306532658</v>
      </c>
      <c r="D35" s="121">
        <f t="shared" si="4"/>
        <v>4.4273650793650798</v>
      </c>
      <c r="E35" s="121">
        <f t="shared" si="4"/>
        <v>4.2704756380510434</v>
      </c>
      <c r="F35" s="121">
        <f t="shared" si="4"/>
        <v>4.6450800000000001</v>
      </c>
      <c r="G35" s="121">
        <f t="shared" si="4"/>
        <v>4.8359381400000006</v>
      </c>
      <c r="H35" s="121">
        <f t="shared" si="4"/>
        <v>5.0101450344000007</v>
      </c>
      <c r="I35" s="121">
        <f t="shared" si="4"/>
        <v>5.1652556292150003</v>
      </c>
      <c r="J35" s="121">
        <f t="shared" si="4"/>
        <v>5.2943870199453755</v>
      </c>
    </row>
    <row r="36" spans="1:10" ht="15">
      <c r="A36" s="59" t="s">
        <v>332</v>
      </c>
      <c r="B36" s="59" t="s">
        <v>178</v>
      </c>
      <c r="C36" s="70"/>
      <c r="D36" s="70">
        <f t="shared" ref="D36:J36" si="5">D35/C35-1</f>
        <v>1.4234989632144091E-2</v>
      </c>
      <c r="E36" s="70">
        <f t="shared" si="5"/>
        <v>-3.5436300937833565E-2</v>
      </c>
      <c r="F36" s="70">
        <f t="shared" si="5"/>
        <v>8.7719587628866114E-2</v>
      </c>
      <c r="G36" s="70">
        <f t="shared" si="5"/>
        <v>4.1088235294117759E-2</v>
      </c>
      <c r="H36" s="70">
        <f t="shared" si="5"/>
        <v>3.6023391812865624E-2</v>
      </c>
      <c r="I36" s="70">
        <f t="shared" si="5"/>
        <v>3.0959302325581195E-2</v>
      </c>
      <c r="J36" s="70">
        <f t="shared" si="5"/>
        <v>2.5000000000000133E-2</v>
      </c>
    </row>
    <row r="37" spans="1:10" ht="15">
      <c r="A37" s="59" t="s">
        <v>333</v>
      </c>
      <c r="B37" s="59" t="s">
        <v>185</v>
      </c>
      <c r="C37" s="121">
        <f t="shared" ref="C37:J37" si="6">C40/C18/100</f>
        <v>0.58124493898061724</v>
      </c>
      <c r="D37" s="121">
        <f t="shared" si="6"/>
        <v>0.70297777777777737</v>
      </c>
      <c r="E37" s="121">
        <f t="shared" si="6"/>
        <v>0.65770881670533698</v>
      </c>
      <c r="F37" s="121">
        <f t="shared" si="6"/>
        <v>0.68189261168384929</v>
      </c>
      <c r="G37" s="121">
        <f t="shared" si="6"/>
        <v>0.70607738424357047</v>
      </c>
      <c r="H37" s="121">
        <f t="shared" si="6"/>
        <v>0.72761351361047677</v>
      </c>
      <c r="I37" s="121">
        <f t="shared" si="6"/>
        <v>0.74986953470498918</v>
      </c>
      <c r="J37" s="121">
        <f t="shared" si="6"/>
        <v>0.76833922767801854</v>
      </c>
    </row>
    <row r="38" spans="1:10" ht="15">
      <c r="A38" s="59" t="s">
        <v>334</v>
      </c>
      <c r="B38" s="59" t="s">
        <v>185</v>
      </c>
      <c r="C38" s="121">
        <f t="shared" ref="C38:J38" si="7">C44-C57</f>
        <v>0.57042096195262015</v>
      </c>
      <c r="D38" s="121">
        <f t="shared" si="7"/>
        <v>0.46702222222222201</v>
      </c>
      <c r="E38" s="121">
        <f t="shared" si="7"/>
        <v>-6.450696055684535E-2</v>
      </c>
      <c r="F38" s="121">
        <f t="shared" si="7"/>
        <v>1.424662560496337E-2</v>
      </c>
      <c r="G38" s="121">
        <f t="shared" si="7"/>
        <v>0.10956005788626211</v>
      </c>
      <c r="H38" s="121">
        <f t="shared" si="7"/>
        <v>0.15748341232602225</v>
      </c>
      <c r="I38" s="121">
        <f t="shared" si="7"/>
        <v>0.18289884872184459</v>
      </c>
      <c r="J38" s="121">
        <f t="shared" si="7"/>
        <v>0.19507738256928686</v>
      </c>
    </row>
    <row r="39" spans="1:10" ht="15">
      <c r="A39" s="62" t="s">
        <v>286</v>
      </c>
      <c r="B39" s="62" t="s">
        <v>26</v>
      </c>
      <c r="C39" s="64">
        <f t="shared" ref="C39:J39" si="8">C24*C33*100</f>
        <v>60807.600000000006</v>
      </c>
      <c r="D39" s="64">
        <f t="shared" si="8"/>
        <v>69731</v>
      </c>
      <c r="E39" s="64">
        <f t="shared" si="8"/>
        <v>73622.999999999985</v>
      </c>
      <c r="F39" s="64">
        <f t="shared" si="8"/>
        <v>83650.511758628578</v>
      </c>
      <c r="G39" s="64">
        <f t="shared" si="8"/>
        <v>95163.648894192389</v>
      </c>
      <c r="H39" s="64">
        <f t="shared" si="8"/>
        <v>108003.07180159677</v>
      </c>
      <c r="I39" s="64">
        <f t="shared" si="8"/>
        <v>121018.84281142722</v>
      </c>
      <c r="J39" s="64">
        <f t="shared" si="8"/>
        <v>133637.34618223616</v>
      </c>
    </row>
    <row r="40" spans="1:10" ht="15">
      <c r="A40" s="62" t="s">
        <v>287</v>
      </c>
      <c r="B40" s="62" t="s">
        <v>26</v>
      </c>
      <c r="C40" s="64">
        <f>C43-C39</f>
        <v>8096.7419999999984</v>
      </c>
      <c r="D40" s="64">
        <f>D43-D39</f>
        <v>11071.899999999994</v>
      </c>
      <c r="E40" s="64">
        <f>E43-E39</f>
        <v>11338.900000000009</v>
      </c>
      <c r="F40" s="64">
        <f>F28*F41/10</f>
        <v>12279.802701305853</v>
      </c>
      <c r="G40" s="64">
        <f>G28*G41/10</f>
        <v>13894.491273679716</v>
      </c>
      <c r="H40" s="64">
        <f>H28*H41/10</f>
        <v>15685.073788227262</v>
      </c>
      <c r="I40" s="64">
        <f>I28*I41/10</f>
        <v>17568.993649852102</v>
      </c>
      <c r="J40" s="64">
        <f>J28*J41/10</f>
        <v>19393.900553129326</v>
      </c>
    </row>
    <row r="41" spans="1:10" ht="15">
      <c r="A41" s="59" t="s">
        <v>288</v>
      </c>
      <c r="B41" s="59" t="s">
        <v>223</v>
      </c>
      <c r="C41" s="80">
        <f>C40*10/C28</f>
        <v>758.83242736644786</v>
      </c>
      <c r="D41" s="80">
        <f>D40*10/D28</f>
        <v>933.54974704890344</v>
      </c>
      <c r="E41" s="80">
        <f>E40*10/E28</f>
        <v>918.8735818476506</v>
      </c>
      <c r="F41" s="80">
        <f>E41*(1+F42)</f>
        <v>964.81726094003318</v>
      </c>
      <c r="G41" s="80">
        <f>F41*(1+G42)</f>
        <v>1013.0581239870348</v>
      </c>
      <c r="H41" s="80">
        <f>G41*(1+H42)</f>
        <v>1058.6457395664513</v>
      </c>
      <c r="I41" s="80">
        <f>H41*(1+I42)</f>
        <v>1100.9915691491094</v>
      </c>
      <c r="J41" s="80">
        <f>I41*(1+J42)</f>
        <v>1145.0312319150739</v>
      </c>
    </row>
    <row r="42" spans="1:10" ht="15">
      <c r="A42" s="59" t="s">
        <v>307</v>
      </c>
      <c r="B42" s="59" t="s">
        <v>178</v>
      </c>
      <c r="C42" s="65"/>
      <c r="D42" s="65">
        <f>D41/C41-1</f>
        <v>0.23024493074026586</v>
      </c>
      <c r="E42" s="65">
        <f>E41/D41-1</f>
        <v>-1.5720817500777584E-2</v>
      </c>
      <c r="F42" s="69">
        <v>0.05</v>
      </c>
      <c r="G42" s="69">
        <v>0.05</v>
      </c>
      <c r="H42" s="69">
        <v>4.4999999999999998E-2</v>
      </c>
      <c r="I42" s="69">
        <v>0.04</v>
      </c>
      <c r="J42" s="69">
        <v>0.04</v>
      </c>
    </row>
    <row r="43" spans="1:10" ht="15">
      <c r="A43" s="62" t="s">
        <v>25</v>
      </c>
      <c r="B43" s="62" t="s">
        <v>26</v>
      </c>
      <c r="C43" s="67">
        <f>'02_Raw_Financials'!K8</f>
        <v>68904.342000000004</v>
      </c>
      <c r="D43" s="67">
        <f>'02_Raw_Financials'!L8</f>
        <v>80802.899999999994</v>
      </c>
      <c r="E43" s="67">
        <f>'02_Raw_Financials'!M8</f>
        <v>84961.9</v>
      </c>
      <c r="F43" s="64">
        <f>F39+F40</f>
        <v>95930.314459934423</v>
      </c>
      <c r="G43" s="64">
        <f>G39+G40</f>
        <v>109058.1401678721</v>
      </c>
      <c r="H43" s="64">
        <f>H39+H40</f>
        <v>123688.14558982404</v>
      </c>
      <c r="I43" s="64">
        <f>I39+I40</f>
        <v>138587.83646127934</v>
      </c>
      <c r="J43" s="64">
        <f>J39+J40</f>
        <v>153031.24673536548</v>
      </c>
    </row>
    <row r="44" spans="1:10" ht="15">
      <c r="A44" s="62" t="s">
        <v>289</v>
      </c>
      <c r="B44" s="62" t="s">
        <v>185</v>
      </c>
      <c r="C44" s="82">
        <f t="shared" ref="C44:J44" si="9">C35+C37</f>
        <v>4.9464710696338834</v>
      </c>
      <c r="D44" s="82">
        <f t="shared" si="9"/>
        <v>5.1303428571428569</v>
      </c>
      <c r="E44" s="82">
        <f t="shared" si="9"/>
        <v>4.92818445475638</v>
      </c>
      <c r="F44" s="82">
        <f t="shared" si="9"/>
        <v>5.3269726116838498</v>
      </c>
      <c r="G44" s="82">
        <f t="shared" si="9"/>
        <v>5.5420155242435714</v>
      </c>
      <c r="H44" s="82">
        <f t="shared" si="9"/>
        <v>5.7377585480104774</v>
      </c>
      <c r="I44" s="82">
        <f t="shared" si="9"/>
        <v>5.9151251639199893</v>
      </c>
      <c r="J44" s="82">
        <f t="shared" si="9"/>
        <v>6.0627262476233943</v>
      </c>
    </row>
    <row r="45" spans="1:10" ht="15">
      <c r="A45" s="59" t="s">
        <v>212</v>
      </c>
      <c r="B45" s="59" t="s">
        <v>185</v>
      </c>
      <c r="C45" s="81">
        <f>'03_Raw_Operating_KPIs'!K16</f>
        <v>4.96</v>
      </c>
      <c r="D45" s="81">
        <f>'03_Raw_Operating_KPIs'!L16</f>
        <v>5.14</v>
      </c>
      <c r="E45" s="81">
        <f>'03_Raw_Operating_KPIs'!M16</f>
        <v>4.99</v>
      </c>
      <c r="F45" s="80"/>
      <c r="G45" s="80"/>
      <c r="H45" s="80"/>
      <c r="I45" s="80"/>
      <c r="J45" s="80"/>
    </row>
    <row r="46" spans="1:10" ht="15">
      <c r="A46" s="59" t="s">
        <v>290</v>
      </c>
      <c r="B46" s="59" t="s">
        <v>185</v>
      </c>
      <c r="C46" s="80">
        <f>C44-C45</f>
        <v>-1.3528930366116576E-2</v>
      </c>
      <c r="D46" s="80">
        <f>D44-D45</f>
        <v>-9.6571428571428086E-3</v>
      </c>
      <c r="E46" s="80">
        <f>E44-E45</f>
        <v>-6.1815545243620207E-2</v>
      </c>
      <c r="F46" s="80"/>
      <c r="G46" s="80"/>
      <c r="H46" s="80"/>
      <c r="I46" s="80"/>
      <c r="J46" s="80"/>
    </row>
    <row r="47" spans="1:10" ht="15">
      <c r="A47" s="59" t="s">
        <v>291</v>
      </c>
      <c r="B47" s="59" t="s">
        <v>26</v>
      </c>
      <c r="C47" s="63">
        <f t="shared" ref="C47:J47" si="10">C43-C39-C40</f>
        <v>0</v>
      </c>
      <c r="D47" s="63">
        <f t="shared" si="10"/>
        <v>0</v>
      </c>
      <c r="E47" s="63">
        <f t="shared" si="10"/>
        <v>0</v>
      </c>
      <c r="F47" s="63">
        <f t="shared" si="10"/>
        <v>0</v>
      </c>
      <c r="G47" s="63">
        <f t="shared" si="10"/>
        <v>0</v>
      </c>
      <c r="H47" s="63">
        <f t="shared" si="10"/>
        <v>0</v>
      </c>
      <c r="I47" s="63">
        <f t="shared" si="10"/>
        <v>0</v>
      </c>
      <c r="J47" s="63">
        <f t="shared" si="10"/>
        <v>0</v>
      </c>
    </row>
    <row r="48" spans="1:10" ht="15">
      <c r="A48" s="59" t="s">
        <v>204</v>
      </c>
      <c r="B48" s="59" t="s">
        <v>178</v>
      </c>
      <c r="C48" s="65"/>
      <c r="D48" s="65">
        <f t="shared" ref="D48:J48" si="11">D43/C43-1</f>
        <v>0.17268226725102442</v>
      </c>
      <c r="E48" s="65">
        <f t="shared" si="11"/>
        <v>5.1470924929674533E-2</v>
      </c>
      <c r="F48" s="65">
        <f t="shared" si="11"/>
        <v>0.12909803641319728</v>
      </c>
      <c r="G48" s="65">
        <f t="shared" si="11"/>
        <v>0.13684752084723484</v>
      </c>
      <c r="H48" s="65">
        <f t="shared" si="11"/>
        <v>0.13414867885544468</v>
      </c>
      <c r="I48" s="65">
        <f t="shared" si="11"/>
        <v>0.12046175322949559</v>
      </c>
      <c r="J48" s="65">
        <f t="shared" si="11"/>
        <v>0.10421845555054565</v>
      </c>
    </row>
    <row r="49" spans="1:10" ht="15">
      <c r="A49" s="59"/>
      <c r="B49" s="59"/>
      <c r="C49" s="59"/>
      <c r="D49" s="59"/>
      <c r="E49" s="59"/>
      <c r="F49" s="59"/>
      <c r="G49" s="59"/>
      <c r="H49" s="59"/>
      <c r="I49" s="59"/>
      <c r="J49" s="59"/>
    </row>
    <row r="50" spans="1:10" ht="15">
      <c r="A50" s="61" t="s">
        <v>292</v>
      </c>
      <c r="B50" s="61"/>
      <c r="C50" s="61"/>
      <c r="D50" s="61"/>
      <c r="E50" s="61"/>
      <c r="F50" s="61"/>
      <c r="G50" s="61"/>
      <c r="H50" s="61"/>
      <c r="I50" s="61"/>
      <c r="J50" s="61"/>
    </row>
    <row r="51" spans="1:10" ht="15">
      <c r="A51" s="59" t="s">
        <v>188</v>
      </c>
      <c r="B51" s="59" t="s">
        <v>185</v>
      </c>
      <c r="C51" s="81">
        <f>'02_Raw_Financials'!K11/('03_Raw_Operating_KPIs'!K9*100)</f>
        <v>1.7160501076812633</v>
      </c>
      <c r="D51" s="81">
        <f>'02_Raw_Financials'!L11/('03_Raw_Operating_KPIs'!L9*100)</f>
        <v>1.6633206349206349</v>
      </c>
      <c r="E51" s="81">
        <f>'02_Raw_Financials'!M11/('03_Raw_Operating_KPIs'!M9*100)</f>
        <v>1.4726914153132251</v>
      </c>
      <c r="F51" s="80">
        <f>E51*(1+F52)</f>
        <v>1.5463259860788865</v>
      </c>
      <c r="G51" s="80">
        <f>F51*(1+G52)</f>
        <v>1.5153994663573087</v>
      </c>
      <c r="H51" s="80">
        <f>G51*(1+H52)</f>
        <v>1.545707455684455</v>
      </c>
      <c r="I51" s="80">
        <f>H51*(1+I52)</f>
        <v>1.5766216047981441</v>
      </c>
      <c r="J51" s="80">
        <f>I51*(1+J52)</f>
        <v>1.608154036894107</v>
      </c>
    </row>
    <row r="52" spans="1:10" ht="15">
      <c r="A52" s="59" t="s">
        <v>308</v>
      </c>
      <c r="B52" s="59" t="s">
        <v>178</v>
      </c>
      <c r="C52" s="65"/>
      <c r="D52" s="65">
        <f>D51/C51-1</f>
        <v>-3.0727233735544424E-2</v>
      </c>
      <c r="E52" s="65">
        <f>E51/D51-1</f>
        <v>-0.11460762020577331</v>
      </c>
      <c r="F52" s="69">
        <v>0.05</v>
      </c>
      <c r="G52" s="69">
        <v>-0.02</v>
      </c>
      <c r="H52" s="69">
        <v>0.02</v>
      </c>
      <c r="I52" s="69">
        <v>0.02</v>
      </c>
      <c r="J52" s="69">
        <v>0.02</v>
      </c>
    </row>
    <row r="53" spans="1:10" ht="15">
      <c r="A53" s="62" t="s">
        <v>293</v>
      </c>
      <c r="B53" s="62" t="s">
        <v>26</v>
      </c>
      <c r="C53" s="64">
        <f t="shared" ref="C53:J53" si="12">C18*C51*100</f>
        <v>23904.578000000001</v>
      </c>
      <c r="D53" s="64">
        <f t="shared" si="12"/>
        <v>26197.300000000003</v>
      </c>
      <c r="E53" s="64">
        <f t="shared" si="12"/>
        <v>25389.200000000001</v>
      </c>
      <c r="F53" s="64">
        <f t="shared" si="12"/>
        <v>27846.874560000004</v>
      </c>
      <c r="G53" s="64">
        <f t="shared" si="12"/>
        <v>29820.675652992002</v>
      </c>
      <c r="H53" s="64">
        <f t="shared" si="12"/>
        <v>33320.622891018567</v>
      </c>
      <c r="I53" s="64">
        <f t="shared" si="12"/>
        <v>36939.299012615193</v>
      </c>
      <c r="J53" s="64">
        <f t="shared" si="12"/>
        <v>40591.939526361952</v>
      </c>
    </row>
    <row r="54" spans="1:10" ht="15">
      <c r="A54" s="59" t="s">
        <v>556</v>
      </c>
      <c r="B54" s="59" t="s">
        <v>185</v>
      </c>
      <c r="C54" s="81">
        <f>'03_Raw_Operating_KPIs'!K18</f>
        <v>2.66</v>
      </c>
      <c r="D54" s="81">
        <f>'03_Raw_Operating_KPIs'!L18</f>
        <v>3</v>
      </c>
      <c r="E54" s="81">
        <f>'03_Raw_Operating_KPIs'!M18</f>
        <v>3.52</v>
      </c>
      <c r="F54" s="80">
        <f>E54*(1+F55)</f>
        <v>3.7664000000000004</v>
      </c>
      <c r="G54" s="80">
        <f>F54*(1+G55)</f>
        <v>3.9170560000000005</v>
      </c>
      <c r="H54" s="80">
        <f>G54*(1+H55)</f>
        <v>4.0345676800000003</v>
      </c>
      <c r="I54" s="80">
        <f>H54*(1+I55)</f>
        <v>4.1556047104000005</v>
      </c>
      <c r="J54" s="80">
        <f>I54*(1+J55)</f>
        <v>4.2594948281600002</v>
      </c>
    </row>
    <row r="55" spans="1:10" ht="15">
      <c r="A55" s="59" t="s">
        <v>557</v>
      </c>
      <c r="B55" s="59" t="s">
        <v>178</v>
      </c>
      <c r="C55" s="65"/>
      <c r="D55" s="65">
        <f>D54/C54-1</f>
        <v>0.1278195488721805</v>
      </c>
      <c r="E55" s="65">
        <f>E54/D54-1</f>
        <v>0.17333333333333334</v>
      </c>
      <c r="F55" s="69">
        <v>7.0000000000000007E-2</v>
      </c>
      <c r="G55" s="69">
        <v>0.04</v>
      </c>
      <c r="H55" s="69">
        <v>0.03</v>
      </c>
      <c r="I55" s="69">
        <v>0.03</v>
      </c>
      <c r="J55" s="69">
        <v>2.5000000000000001E-2</v>
      </c>
    </row>
    <row r="56" spans="1:10" ht="15">
      <c r="A56" s="62" t="s">
        <v>312</v>
      </c>
      <c r="B56" s="62" t="s">
        <v>26</v>
      </c>
      <c r="C56" s="64">
        <f t="shared" ref="C56:J56" si="13">C18*C54*100</f>
        <v>37053.80000000001</v>
      </c>
      <c r="D56" s="64">
        <f t="shared" si="13"/>
        <v>47250</v>
      </c>
      <c r="E56" s="64">
        <f t="shared" si="13"/>
        <v>60684.80000000001</v>
      </c>
      <c r="F56" s="64">
        <f t="shared" si="13"/>
        <v>67826.88080457144</v>
      </c>
      <c r="G56" s="64">
        <f t="shared" si="13"/>
        <v>77081.495067033611</v>
      </c>
      <c r="H56" s="64">
        <f t="shared" si="13"/>
        <v>86972.672415585126</v>
      </c>
      <c r="I56" s="64">
        <f t="shared" si="13"/>
        <v>97363.327071336913</v>
      </c>
      <c r="J56" s="64">
        <f t="shared" si="13"/>
        <v>107515.29549461148</v>
      </c>
    </row>
    <row r="57" spans="1:10" ht="15">
      <c r="A57" s="62" t="s">
        <v>294</v>
      </c>
      <c r="B57" s="62" t="s">
        <v>185</v>
      </c>
      <c r="C57" s="82">
        <f t="shared" ref="C57:J57" si="14">C51+C54</f>
        <v>4.3760501076812632</v>
      </c>
      <c r="D57" s="82">
        <f t="shared" si="14"/>
        <v>4.6633206349206349</v>
      </c>
      <c r="E57" s="82">
        <f t="shared" si="14"/>
        <v>4.9926914153132254</v>
      </c>
      <c r="F57" s="82">
        <f t="shared" si="14"/>
        <v>5.3127259860788865</v>
      </c>
      <c r="G57" s="82">
        <f t="shared" si="14"/>
        <v>5.4324554663573092</v>
      </c>
      <c r="H57" s="82">
        <f t="shared" si="14"/>
        <v>5.5802751356844551</v>
      </c>
      <c r="I57" s="82">
        <f t="shared" si="14"/>
        <v>5.7322263151981447</v>
      </c>
      <c r="J57" s="82">
        <f t="shared" si="14"/>
        <v>5.8676488650541074</v>
      </c>
    </row>
    <row r="58" spans="1:10" ht="15">
      <c r="A58" s="62" t="s">
        <v>295</v>
      </c>
      <c r="B58" s="62" t="s">
        <v>26</v>
      </c>
      <c r="C58" s="64">
        <f t="shared" ref="C58:J58" si="15">C53+C56</f>
        <v>60958.378000000012</v>
      </c>
      <c r="D58" s="64">
        <f t="shared" si="15"/>
        <v>73447.3</v>
      </c>
      <c r="E58" s="64">
        <f t="shared" si="15"/>
        <v>86074.000000000015</v>
      </c>
      <c r="F58" s="64">
        <f t="shared" si="15"/>
        <v>95673.755364571436</v>
      </c>
      <c r="G58" s="64">
        <f t="shared" si="15"/>
        <v>106902.17072002561</v>
      </c>
      <c r="H58" s="64">
        <f t="shared" si="15"/>
        <v>120293.29530660369</v>
      </c>
      <c r="I58" s="64">
        <f t="shared" si="15"/>
        <v>134302.62608395211</v>
      </c>
      <c r="J58" s="64">
        <f t="shared" si="15"/>
        <v>148107.23502097343</v>
      </c>
    </row>
    <row r="59" spans="1:10" ht="15">
      <c r="A59" s="59" t="s">
        <v>296</v>
      </c>
      <c r="B59" s="59" t="s">
        <v>26</v>
      </c>
      <c r="C59" s="63">
        <f t="shared" ref="C59:J59" si="16">C43-C58</f>
        <v>7945.9639999999927</v>
      </c>
      <c r="D59" s="63">
        <f t="shared" si="16"/>
        <v>7355.5999999999913</v>
      </c>
      <c r="E59" s="63">
        <f t="shared" si="16"/>
        <v>-1112.1000000000204</v>
      </c>
      <c r="F59" s="63">
        <f t="shared" si="16"/>
        <v>256.55909536298714</v>
      </c>
      <c r="G59" s="63">
        <f t="shared" si="16"/>
        <v>2155.9694478464953</v>
      </c>
      <c r="H59" s="63">
        <f t="shared" si="16"/>
        <v>3394.8502832203521</v>
      </c>
      <c r="I59" s="63">
        <f t="shared" si="16"/>
        <v>4285.2103773272247</v>
      </c>
      <c r="J59" s="63">
        <f t="shared" si="16"/>
        <v>4924.0117143920506</v>
      </c>
    </row>
    <row r="60" spans="1:10" ht="15">
      <c r="A60" s="59" t="s">
        <v>27</v>
      </c>
      <c r="B60" s="59" t="s">
        <v>26</v>
      </c>
      <c r="C60" s="66">
        <f>'02_Raw_Financials'!K9</f>
        <v>2326.8209999999999</v>
      </c>
      <c r="D60" s="66">
        <f>'02_Raw_Financials'!L9</f>
        <v>3295.3</v>
      </c>
      <c r="E60" s="66">
        <f>'02_Raw_Financials'!M9</f>
        <v>4551.5</v>
      </c>
      <c r="F60" s="63">
        <f>F43*F61</f>
        <v>3837.212578397377</v>
      </c>
      <c r="G60" s="63">
        <f>G43*G61</f>
        <v>4144.2093263791394</v>
      </c>
      <c r="H60" s="63">
        <f>H43*H61</f>
        <v>4329.0850956438417</v>
      </c>
      <c r="I60" s="63">
        <f>I43*I61</f>
        <v>4573.3986032222183</v>
      </c>
      <c r="J60" s="63">
        <f>J43*J61</f>
        <v>4590.9374020609639</v>
      </c>
    </row>
    <row r="61" spans="1:10" ht="15">
      <c r="A61" s="59" t="s">
        <v>309</v>
      </c>
      <c r="B61" s="59" t="s">
        <v>178</v>
      </c>
      <c r="C61" s="65">
        <f>C60/C43</f>
        <v>3.3768858862334099E-2</v>
      </c>
      <c r="D61" s="65">
        <f>D60/D43</f>
        <v>4.0781952132906127E-2</v>
      </c>
      <c r="E61" s="65">
        <f>E60/E43</f>
        <v>5.3571071268415614E-2</v>
      </c>
      <c r="F61" s="69">
        <v>0.04</v>
      </c>
      <c r="G61" s="69">
        <v>3.7999999999999999E-2</v>
      </c>
      <c r="H61" s="69">
        <v>3.5000000000000003E-2</v>
      </c>
      <c r="I61" s="69">
        <v>3.3000000000000002E-2</v>
      </c>
      <c r="J61" s="69">
        <v>0.03</v>
      </c>
    </row>
    <row r="62" spans="1:10" ht="15">
      <c r="A62" s="59" t="s">
        <v>513</v>
      </c>
      <c r="B62" s="59" t="s">
        <v>26</v>
      </c>
      <c r="C62" s="63">
        <f>C63-C59-C60</f>
        <v>1099.423000000008</v>
      </c>
      <c r="D62" s="63">
        <f>D63-D59-D60</f>
        <v>900.70000000000891</v>
      </c>
      <c r="E62" s="63">
        <f>E63-E59-E60</f>
        <v>-815.69999999997935</v>
      </c>
      <c r="F62" s="83">
        <v>0</v>
      </c>
      <c r="G62" s="83">
        <v>0</v>
      </c>
      <c r="H62" s="83">
        <v>0</v>
      </c>
      <c r="I62" s="83">
        <v>0</v>
      </c>
      <c r="J62" s="83">
        <v>0</v>
      </c>
    </row>
    <row r="63" spans="1:10" ht="15">
      <c r="A63" s="62" t="s">
        <v>297</v>
      </c>
      <c r="B63" s="62" t="s">
        <v>26</v>
      </c>
      <c r="C63" s="67">
        <f>'05_Historical_Analysis'!K68</f>
        <v>11372.208000000001</v>
      </c>
      <c r="D63" s="67">
        <f>'05_Historical_Analysis'!L68</f>
        <v>11551.6</v>
      </c>
      <c r="E63" s="67">
        <f>'05_Historical_Analysis'!M68</f>
        <v>2623.7000000000003</v>
      </c>
      <c r="F63" s="64">
        <f>F59+F60+F62</f>
        <v>4093.7716737603641</v>
      </c>
      <c r="G63" s="64">
        <f>G59+G60+G62</f>
        <v>6300.1787742256347</v>
      </c>
      <c r="H63" s="64">
        <f>H59+H60+H62</f>
        <v>7723.9353788641938</v>
      </c>
      <c r="I63" s="64">
        <f>I59+I60+I62</f>
        <v>8858.608980549443</v>
      </c>
      <c r="J63" s="64">
        <f>J59+J60+J62</f>
        <v>9514.9491164530154</v>
      </c>
    </row>
    <row r="64" spans="1:10" ht="15">
      <c r="A64" s="59" t="s">
        <v>228</v>
      </c>
      <c r="B64" s="59" t="s">
        <v>178</v>
      </c>
      <c r="C64" s="65">
        <f t="shared" ref="C64:J64" si="17">C63/C43</f>
        <v>0.16504341627701777</v>
      </c>
      <c r="D64" s="65">
        <f t="shared" si="17"/>
        <v>0.14296021553681862</v>
      </c>
      <c r="E64" s="65">
        <f t="shared" si="17"/>
        <v>3.088090073315216E-2</v>
      </c>
      <c r="F64" s="65">
        <f t="shared" si="17"/>
        <v>4.267443192287397E-2</v>
      </c>
      <c r="G64" s="65">
        <f t="shared" si="17"/>
        <v>5.7768991517073667E-2</v>
      </c>
      <c r="H64" s="65">
        <f t="shared" si="17"/>
        <v>6.244685246133766E-2</v>
      </c>
      <c r="I64" s="65">
        <f t="shared" si="17"/>
        <v>6.3920537377206904E-2</v>
      </c>
      <c r="J64" s="65">
        <f t="shared" si="17"/>
        <v>6.2176511787210793E-2</v>
      </c>
    </row>
    <row r="65" spans="1:10" ht="15">
      <c r="A65" s="59" t="s">
        <v>298</v>
      </c>
      <c r="B65" s="59" t="s">
        <v>185</v>
      </c>
      <c r="C65" s="80">
        <f>C67/C18/100</f>
        <v>0.46128707824838477</v>
      </c>
      <c r="D65" s="80">
        <f>D67/D18/100</f>
        <v>0.55112380952380957</v>
      </c>
      <c r="E65" s="80">
        <f>E67/E18/100</f>
        <v>0.6269257540603248</v>
      </c>
      <c r="F65" s="80">
        <f>E65*(1+F66)</f>
        <v>0.63946426914153132</v>
      </c>
      <c r="G65" s="80">
        <f>F65*(1+G66)</f>
        <v>0.65864819721577728</v>
      </c>
      <c r="H65" s="80">
        <f>G65*(1+H66)</f>
        <v>0.67840764313225066</v>
      </c>
      <c r="I65" s="80">
        <f>H65*(1+I66)</f>
        <v>0.69536783421055681</v>
      </c>
      <c r="J65" s="80">
        <f>I65*(1+J66)</f>
        <v>0.71275203006582066</v>
      </c>
    </row>
    <row r="66" spans="1:10" ht="15">
      <c r="A66" s="59" t="s">
        <v>310</v>
      </c>
      <c r="B66" s="59" t="s">
        <v>178</v>
      </c>
      <c r="C66" s="65"/>
      <c r="D66" s="65">
        <f>D65/C65-1</f>
        <v>0.19475232563755296</v>
      </c>
      <c r="E66" s="65">
        <f>E65/D65-1</f>
        <v>0.13754068183338108</v>
      </c>
      <c r="F66" s="69">
        <v>0.02</v>
      </c>
      <c r="G66" s="69">
        <v>0.03</v>
      </c>
      <c r="H66" s="69">
        <v>0.03</v>
      </c>
      <c r="I66" s="69">
        <v>2.5000000000000001E-2</v>
      </c>
      <c r="J66" s="69">
        <v>2.5000000000000001E-2</v>
      </c>
    </row>
    <row r="67" spans="1:10" ht="15">
      <c r="A67" s="59" t="s">
        <v>38</v>
      </c>
      <c r="B67" s="59" t="s">
        <v>26</v>
      </c>
      <c r="C67" s="66">
        <f>'02_Raw_Financials'!K20</f>
        <v>6425.7290000000003</v>
      </c>
      <c r="D67" s="66">
        <f>'02_Raw_Financials'!L20</f>
        <v>8680.2000000000007</v>
      </c>
      <c r="E67" s="66">
        <f>'02_Raw_Financials'!M20</f>
        <v>10808.2</v>
      </c>
      <c r="F67" s="63">
        <f>F18*F65*100</f>
        <v>11515.735652571429</v>
      </c>
      <c r="G67" s="63">
        <f>G18*G65*100</f>
        <v>12961.159545484801</v>
      </c>
      <c r="H67" s="63">
        <f>H18*H65*100</f>
        <v>14624.348973709721</v>
      </c>
      <c r="I67" s="63">
        <f>I18*I65*100</f>
        <v>16292.051481146002</v>
      </c>
      <c r="J67" s="63">
        <f>J18*J65*100</f>
        <v>17990.806003634472</v>
      </c>
    </row>
    <row r="68" spans="1:10" ht="15">
      <c r="A68" s="62" t="s">
        <v>249</v>
      </c>
      <c r="B68" s="62" t="s">
        <v>26</v>
      </c>
      <c r="C68" s="67">
        <f>'05_Historical_Analysis'!K69</f>
        <v>17797.937000000002</v>
      </c>
      <c r="D68" s="67">
        <f>'05_Historical_Analysis'!L69</f>
        <v>20231.800000000003</v>
      </c>
      <c r="E68" s="67">
        <f>'05_Historical_Analysis'!M69</f>
        <v>13431.900000000001</v>
      </c>
      <c r="F68" s="64">
        <f>F63+F67</f>
        <v>15609.507326331794</v>
      </c>
      <c r="G68" s="64">
        <f>G63+G67</f>
        <v>19261.338319710434</v>
      </c>
      <c r="H68" s="64">
        <f>H63+H67</f>
        <v>22348.284352573915</v>
      </c>
      <c r="I68" s="64">
        <f>I63+I67</f>
        <v>25150.660461695443</v>
      </c>
      <c r="J68" s="64">
        <f>J63+J67</f>
        <v>27505.755120087488</v>
      </c>
    </row>
    <row r="69" spans="1:10" ht="15">
      <c r="A69" s="59" t="s">
        <v>227</v>
      </c>
      <c r="B69" s="59" t="s">
        <v>178</v>
      </c>
      <c r="C69" s="65">
        <f t="shared" ref="C69:J69" si="18">C68/C43</f>
        <v>0.2582992084881966</v>
      </c>
      <c r="D69" s="65">
        <f t="shared" si="18"/>
        <v>0.25038457778124307</v>
      </c>
      <c r="E69" s="65">
        <f t="shared" si="18"/>
        <v>0.15809321590030356</v>
      </c>
      <c r="F69" s="65">
        <f t="shared" si="18"/>
        <v>0.16271714957059949</v>
      </c>
      <c r="G69" s="65">
        <f t="shared" si="18"/>
        <v>0.17661531995742499</v>
      </c>
      <c r="H69" s="65">
        <f t="shared" si="18"/>
        <v>0.18068250798007382</v>
      </c>
      <c r="I69" s="65">
        <f t="shared" si="18"/>
        <v>0.18147812321698517</v>
      </c>
      <c r="J69" s="65">
        <f t="shared" si="18"/>
        <v>0.17973946959768783</v>
      </c>
    </row>
    <row r="70" spans="1:10" ht="15">
      <c r="A70" s="59" t="s">
        <v>299</v>
      </c>
      <c r="B70" s="59" t="s">
        <v>185</v>
      </c>
      <c r="C70" s="80">
        <f>C72/C18/100</f>
        <v>7.7185570710696344E-2</v>
      </c>
      <c r="D70" s="80">
        <f>D72/D18/100</f>
        <v>0.19113015873015876</v>
      </c>
      <c r="E70" s="80">
        <f>E72/E18/100</f>
        <v>0.12092227378190254</v>
      </c>
      <c r="F70" s="80">
        <f>E70*(1+F71)</f>
        <v>0.11487616009280741</v>
      </c>
      <c r="G70" s="80">
        <f>F70*(1+G71)</f>
        <v>0.10913235208816703</v>
      </c>
      <c r="H70" s="80">
        <f>G70*(1+H71)</f>
        <v>0.10367573448375868</v>
      </c>
      <c r="I70" s="80">
        <f>H70*(1+I71)</f>
        <v>9.8491947759570736E-2</v>
      </c>
      <c r="J70" s="80">
        <f>I70*(1+J71)</f>
        <v>9.3567350371592195E-2</v>
      </c>
    </row>
    <row r="71" spans="1:10" ht="15">
      <c r="A71" s="59" t="s">
        <v>311</v>
      </c>
      <c r="B71" s="59" t="s">
        <v>178</v>
      </c>
      <c r="C71" s="65"/>
      <c r="D71" s="65">
        <f>D70/C70-1</f>
        <v>1.4762420873526305</v>
      </c>
      <c r="E71" s="65">
        <f>E70/D70-1</f>
        <v>-0.36733022885926159</v>
      </c>
      <c r="F71" s="69">
        <v>-0.05</v>
      </c>
      <c r="G71" s="69">
        <v>-0.05</v>
      </c>
      <c r="H71" s="69">
        <v>-0.05</v>
      </c>
      <c r="I71" s="69">
        <v>-0.05</v>
      </c>
      <c r="J71" s="69">
        <v>-0.05</v>
      </c>
    </row>
    <row r="72" spans="1:10" ht="15">
      <c r="A72" s="59" t="s">
        <v>30</v>
      </c>
      <c r="B72" s="59" t="s">
        <v>26</v>
      </c>
      <c r="C72" s="66">
        <f>'02_Raw_Financials'!K12</f>
        <v>1075.1950000000002</v>
      </c>
      <c r="D72" s="66">
        <f>'02_Raw_Financials'!L12</f>
        <v>3010.3</v>
      </c>
      <c r="E72" s="66">
        <f>'02_Raw_Financials'!M12</f>
        <v>2084.6999999999998</v>
      </c>
      <c r="F72" s="63">
        <f>F18*F70*100</f>
        <v>2068.737154285714</v>
      </c>
      <c r="G72" s="63">
        <f>G18*G70*100</f>
        <v>2147.5528711199995</v>
      </c>
      <c r="H72" s="63">
        <f>H18*H70*100</f>
        <v>2234.9248811464045</v>
      </c>
      <c r="I72" s="63">
        <f>I18*I70*100</f>
        <v>2307.6072898870761</v>
      </c>
      <c r="J72" s="63">
        <f>J18*J70*100</f>
        <v>2361.7639484716137</v>
      </c>
    </row>
    <row r="73" spans="1:10" ht="15">
      <c r="A73" s="62" t="s">
        <v>250</v>
      </c>
      <c r="B73" s="62" t="s">
        <v>26</v>
      </c>
      <c r="C73" s="67">
        <f>'05_Historical_Analysis'!K70</f>
        <v>18873.132000000001</v>
      </c>
      <c r="D73" s="67">
        <f>'05_Historical_Analysis'!L70</f>
        <v>23242.100000000002</v>
      </c>
      <c r="E73" s="67">
        <f>'05_Historical_Analysis'!M70</f>
        <v>15516.600000000002</v>
      </c>
      <c r="F73" s="64">
        <f>F68+F72</f>
        <v>17678.244480617508</v>
      </c>
      <c r="G73" s="64">
        <f>G68+G72</f>
        <v>21408.891190830433</v>
      </c>
      <c r="H73" s="64">
        <f>H68+H72</f>
        <v>24583.209233720321</v>
      </c>
      <c r="I73" s="64">
        <f>I68+I72</f>
        <v>27458.26775158252</v>
      </c>
      <c r="J73" s="64">
        <f>J68+J72</f>
        <v>29867.519068559101</v>
      </c>
    </row>
    <row r="74" spans="1:10" ht="15">
      <c r="A74" s="59" t="s">
        <v>300</v>
      </c>
      <c r="B74" s="59" t="s">
        <v>178</v>
      </c>
      <c r="C74" s="65">
        <f t="shared" ref="C74:J74" si="19">C73/C43</f>
        <v>0.27390337752590393</v>
      </c>
      <c r="D74" s="65">
        <f t="shared" si="19"/>
        <v>0.2876394287828779</v>
      </c>
      <c r="E74" s="65">
        <f t="shared" si="19"/>
        <v>0.18263009654915913</v>
      </c>
      <c r="F74" s="65">
        <f t="shared" si="19"/>
        <v>0.18428214876748766</v>
      </c>
      <c r="G74" s="65">
        <f t="shared" si="19"/>
        <v>0.1963071363391668</v>
      </c>
      <c r="H74" s="65">
        <f t="shared" si="19"/>
        <v>0.19875153852854602</v>
      </c>
      <c r="I74" s="65">
        <f t="shared" si="19"/>
        <v>0.19812898774312135</v>
      </c>
      <c r="J74" s="65">
        <f t="shared" si="19"/>
        <v>0.19517268339457844</v>
      </c>
    </row>
    <row r="75" spans="1:10" ht="15">
      <c r="A75" s="62" t="s">
        <v>301</v>
      </c>
      <c r="B75" s="62" t="s">
        <v>26</v>
      </c>
      <c r="C75" s="64">
        <f t="shared" ref="C75:J75" si="20">C63-C59-C60-C62</f>
        <v>0</v>
      </c>
      <c r="D75" s="64">
        <f t="shared" si="20"/>
        <v>0</v>
      </c>
      <c r="E75" s="64">
        <f t="shared" si="20"/>
        <v>0</v>
      </c>
      <c r="F75" s="64">
        <f t="shared" si="20"/>
        <v>0</v>
      </c>
      <c r="G75" s="64">
        <f t="shared" si="20"/>
        <v>0</v>
      </c>
      <c r="H75" s="64">
        <f t="shared" si="20"/>
        <v>0</v>
      </c>
      <c r="I75" s="64">
        <f t="shared" si="20"/>
        <v>0</v>
      </c>
      <c r="J75" s="64">
        <f t="shared" si="20"/>
        <v>9.0949470177292824E-13</v>
      </c>
    </row>
    <row r="76" spans="1:10" ht="15">
      <c r="A76" s="62" t="s">
        <v>302</v>
      </c>
      <c r="B76" s="62" t="s">
        <v>26</v>
      </c>
      <c r="C76" s="64">
        <f t="shared" ref="C76:J76" si="21">C68-C63-C67</f>
        <v>0</v>
      </c>
      <c r="D76" s="64">
        <f t="shared" si="21"/>
        <v>0</v>
      </c>
      <c r="E76" s="64">
        <f t="shared" si="21"/>
        <v>0</v>
      </c>
      <c r="F76" s="64">
        <f t="shared" si="21"/>
        <v>0</v>
      </c>
      <c r="G76" s="64">
        <f t="shared" si="21"/>
        <v>0</v>
      </c>
      <c r="H76" s="64">
        <f t="shared" si="21"/>
        <v>0</v>
      </c>
      <c r="I76" s="64">
        <f t="shared" si="21"/>
        <v>0</v>
      </c>
      <c r="J76" s="64">
        <f t="shared" si="21"/>
        <v>0</v>
      </c>
    </row>
    <row r="77" spans="1:10" ht="15">
      <c r="A77" s="62" t="s">
        <v>303</v>
      </c>
      <c r="B77" s="62" t="s">
        <v>26</v>
      </c>
      <c r="C77" s="64">
        <f t="shared" ref="C77:J77" si="22">C58-C53-C56</f>
        <v>0</v>
      </c>
      <c r="D77" s="64">
        <f t="shared" si="22"/>
        <v>0</v>
      </c>
      <c r="E77" s="64">
        <f t="shared" si="22"/>
        <v>0</v>
      </c>
      <c r="F77" s="64">
        <f t="shared" si="22"/>
        <v>0</v>
      </c>
      <c r="G77" s="64">
        <f t="shared" si="22"/>
        <v>0</v>
      </c>
      <c r="H77" s="64">
        <f t="shared" si="22"/>
        <v>0</v>
      </c>
      <c r="I77" s="64">
        <f t="shared" si="22"/>
        <v>0</v>
      </c>
      <c r="J77" s="64">
        <f t="shared" si="22"/>
        <v>0</v>
      </c>
    </row>
    <row r="78" spans="1:10" ht="15">
      <c r="A78" s="59"/>
      <c r="B78" s="59"/>
      <c r="C78" s="59"/>
      <c r="D78" s="59"/>
      <c r="E78" s="59"/>
      <c r="F78" s="59"/>
      <c r="G78" s="59"/>
      <c r="H78" s="59"/>
      <c r="I78" s="59"/>
      <c r="J78" s="59"/>
    </row>
    <row r="80" spans="1:10" ht="22" customHeight="1" thickBot="1">
      <c r="A80" s="152" t="s">
        <v>335</v>
      </c>
      <c r="B80" s="152"/>
      <c r="C80" s="152"/>
      <c r="D80" s="152"/>
      <c r="E80" s="152"/>
      <c r="F80" s="152"/>
      <c r="G80" s="152"/>
      <c r="H80" s="152"/>
      <c r="I80" s="152"/>
      <c r="J80" s="152"/>
    </row>
    <row r="81" spans="1:10" ht="20" customHeight="1">
      <c r="A81" s="126" t="s">
        <v>336</v>
      </c>
      <c r="B81" s="127" t="s">
        <v>337</v>
      </c>
      <c r="C81" s="153" t="s">
        <v>338</v>
      </c>
      <c r="D81" s="153"/>
      <c r="E81" s="153"/>
      <c r="F81" s="153"/>
      <c r="G81" s="153"/>
      <c r="H81" s="153"/>
      <c r="I81" s="153"/>
      <c r="J81" s="153"/>
    </row>
    <row r="82" spans="1:10" ht="20" customHeight="1">
      <c r="A82" s="122" t="s">
        <v>339</v>
      </c>
      <c r="B82" s="128" t="s">
        <v>340</v>
      </c>
      <c r="C82" s="154" t="s">
        <v>341</v>
      </c>
      <c r="D82" s="154"/>
      <c r="E82" s="154"/>
      <c r="F82" s="154"/>
      <c r="G82" s="154"/>
      <c r="H82" s="154"/>
      <c r="I82" s="154"/>
      <c r="J82" s="154"/>
    </row>
    <row r="83" spans="1:10" ht="20" customHeight="1">
      <c r="A83" s="123" t="s">
        <v>342</v>
      </c>
      <c r="B83" s="129" t="s">
        <v>340</v>
      </c>
      <c r="C83" s="150" t="s">
        <v>343</v>
      </c>
      <c r="D83" s="150"/>
      <c r="E83" s="150"/>
      <c r="F83" s="150"/>
      <c r="G83" s="150"/>
      <c r="H83" s="150"/>
      <c r="I83" s="150"/>
      <c r="J83" s="150"/>
    </row>
    <row r="84" spans="1:10" ht="20" customHeight="1">
      <c r="A84" s="123" t="s">
        <v>344</v>
      </c>
      <c r="B84" s="129" t="s">
        <v>345</v>
      </c>
      <c r="C84" s="150" t="s">
        <v>346</v>
      </c>
      <c r="D84" s="150"/>
      <c r="E84" s="150"/>
      <c r="F84" s="150"/>
      <c r="G84" s="150"/>
      <c r="H84" s="150"/>
      <c r="I84" s="150"/>
      <c r="J84" s="150"/>
    </row>
    <row r="85" spans="1:10" ht="20" customHeight="1">
      <c r="A85" s="123" t="s">
        <v>347</v>
      </c>
      <c r="B85" s="129" t="s">
        <v>348</v>
      </c>
      <c r="C85" s="150" t="s">
        <v>349</v>
      </c>
      <c r="D85" s="150"/>
      <c r="E85" s="150"/>
      <c r="F85" s="150"/>
      <c r="G85" s="150"/>
      <c r="H85" s="150"/>
      <c r="I85" s="150"/>
      <c r="J85" s="150"/>
    </row>
    <row r="86" spans="1:10" ht="20" customHeight="1">
      <c r="A86" s="123" t="s">
        <v>350</v>
      </c>
      <c r="B86" s="129" t="s">
        <v>351</v>
      </c>
      <c r="C86" s="150" t="s">
        <v>352</v>
      </c>
      <c r="D86" s="150"/>
      <c r="E86" s="150"/>
      <c r="F86" s="150"/>
      <c r="G86" s="150"/>
      <c r="H86" s="150"/>
      <c r="I86" s="150"/>
      <c r="J86" s="150"/>
    </row>
    <row r="87" spans="1:10" ht="30" customHeight="1">
      <c r="A87" s="123" t="s">
        <v>353</v>
      </c>
      <c r="B87" s="129" t="s">
        <v>354</v>
      </c>
      <c r="C87" s="150" t="s">
        <v>355</v>
      </c>
      <c r="D87" s="150"/>
      <c r="E87" s="150"/>
      <c r="F87" s="150"/>
      <c r="G87" s="150"/>
      <c r="H87" s="150"/>
      <c r="I87" s="150"/>
      <c r="J87" s="150"/>
    </row>
    <row r="88" spans="1:10" ht="30" customHeight="1">
      <c r="A88" s="123" t="s">
        <v>356</v>
      </c>
      <c r="B88" s="129" t="s">
        <v>357</v>
      </c>
      <c r="C88" s="150" t="s">
        <v>358</v>
      </c>
      <c r="D88" s="150"/>
      <c r="E88" s="150"/>
      <c r="F88" s="150"/>
      <c r="G88" s="150"/>
      <c r="H88" s="150"/>
      <c r="I88" s="150"/>
      <c r="J88" s="150"/>
    </row>
    <row r="89" spans="1:10" ht="30" customHeight="1">
      <c r="A89" s="123"/>
      <c r="B89" s="129"/>
      <c r="C89" s="150"/>
      <c r="D89" s="150"/>
      <c r="E89" s="150"/>
      <c r="F89" s="150"/>
      <c r="G89" s="150"/>
      <c r="H89" s="150"/>
      <c r="I89" s="150"/>
      <c r="J89" s="150"/>
    </row>
    <row r="90" spans="1:10" ht="20" customHeight="1">
      <c r="A90" s="123" t="s">
        <v>359</v>
      </c>
      <c r="B90" s="129" t="s">
        <v>348</v>
      </c>
      <c r="C90" s="150" t="s">
        <v>360</v>
      </c>
      <c r="D90" s="150"/>
      <c r="E90" s="150"/>
      <c r="F90" s="150"/>
      <c r="G90" s="150"/>
      <c r="H90" s="150"/>
      <c r="I90" s="150"/>
      <c r="J90" s="150"/>
    </row>
    <row r="91" spans="1:10" ht="20" customHeight="1">
      <c r="A91" s="123" t="s">
        <v>361</v>
      </c>
      <c r="B91" s="129" t="s">
        <v>348</v>
      </c>
      <c r="C91" s="150" t="s">
        <v>362</v>
      </c>
      <c r="D91" s="150"/>
      <c r="E91" s="150"/>
      <c r="F91" s="150"/>
      <c r="G91" s="150"/>
      <c r="H91" s="150"/>
      <c r="I91" s="150"/>
      <c r="J91" s="150"/>
    </row>
    <row r="92" spans="1:10" ht="20" customHeight="1">
      <c r="A92" s="123" t="s">
        <v>363</v>
      </c>
      <c r="B92" s="129" t="s">
        <v>340</v>
      </c>
      <c r="C92" s="150" t="s">
        <v>364</v>
      </c>
      <c r="D92" s="150"/>
      <c r="E92" s="150"/>
      <c r="F92" s="150"/>
      <c r="G92" s="150"/>
      <c r="H92" s="150"/>
      <c r="I92" s="150"/>
      <c r="J92" s="150"/>
    </row>
    <row r="93" spans="1:10" ht="20" customHeight="1">
      <c r="A93" s="123" t="s">
        <v>365</v>
      </c>
      <c r="B93" s="129" t="s">
        <v>348</v>
      </c>
      <c r="C93" s="150" t="s">
        <v>366</v>
      </c>
      <c r="D93" s="150"/>
      <c r="E93" s="150"/>
      <c r="F93" s="150"/>
      <c r="G93" s="150"/>
      <c r="H93" s="150"/>
      <c r="I93" s="150"/>
      <c r="J93" s="150"/>
    </row>
    <row r="94" spans="1:10" ht="30" customHeight="1">
      <c r="A94" s="123" t="s">
        <v>367</v>
      </c>
      <c r="B94" s="129" t="s">
        <v>340</v>
      </c>
      <c r="C94" s="150" t="s">
        <v>368</v>
      </c>
      <c r="D94" s="150"/>
      <c r="E94" s="150"/>
      <c r="F94" s="150"/>
      <c r="G94" s="150"/>
      <c r="H94" s="150"/>
      <c r="I94" s="150"/>
      <c r="J94" s="150"/>
    </row>
    <row r="95" spans="1:10" ht="20" customHeight="1">
      <c r="A95" s="123" t="s">
        <v>369</v>
      </c>
      <c r="B95" s="129" t="s">
        <v>354</v>
      </c>
      <c r="C95" s="150" t="s">
        <v>370</v>
      </c>
      <c r="D95" s="150"/>
      <c r="E95" s="150"/>
      <c r="F95" s="150"/>
      <c r="G95" s="150"/>
      <c r="H95" s="150"/>
      <c r="I95" s="150"/>
      <c r="J95" s="150"/>
    </row>
    <row r="96" spans="1:10" ht="20" customHeight="1">
      <c r="A96" s="124" t="s">
        <v>371</v>
      </c>
      <c r="B96" s="125" t="s">
        <v>372</v>
      </c>
      <c r="C96" s="151" t="s">
        <v>373</v>
      </c>
      <c r="D96" s="151"/>
      <c r="E96" s="151"/>
      <c r="F96" s="151"/>
      <c r="G96" s="151"/>
      <c r="H96" s="151"/>
      <c r="I96" s="151"/>
      <c r="J96" s="151"/>
    </row>
  </sheetData>
  <mergeCells count="20">
    <mergeCell ref="A1:J1"/>
    <mergeCell ref="A2:J2"/>
    <mergeCell ref="A3:J3"/>
    <mergeCell ref="A80:J80"/>
    <mergeCell ref="C81:J81"/>
    <mergeCell ref="C82:J82"/>
    <mergeCell ref="C83:J83"/>
    <mergeCell ref="C84:J84"/>
    <mergeCell ref="C85:J85"/>
    <mergeCell ref="C86:J86"/>
    <mergeCell ref="C87:J87"/>
    <mergeCell ref="C88:J88"/>
    <mergeCell ref="C89:J89"/>
    <mergeCell ref="C95:J95"/>
    <mergeCell ref="C96:J96"/>
    <mergeCell ref="C90:J90"/>
    <mergeCell ref="C91:J91"/>
    <mergeCell ref="C92:J92"/>
    <mergeCell ref="C93:J93"/>
    <mergeCell ref="C94:J94"/>
  </mergeCell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53"/>
  <sheetViews>
    <sheetView showGridLines="0" zoomScale="120" zoomScaleNormal="120" workbookViewId="0">
      <pane xSplit="2" ySplit="6" topLeftCell="F36" activePane="bottomRight" state="frozen"/>
      <selection pane="topRight" activeCell="C1" sqref="C1"/>
      <selection pane="bottomLeft" activeCell="A7" sqref="A7"/>
      <selection pane="bottomRight" activeCell="A58" sqref="A58"/>
    </sheetView>
  </sheetViews>
  <sheetFormatPr baseColWidth="10" defaultColWidth="8.83203125" defaultRowHeight="14"/>
  <cols>
    <col min="1" max="1" width="37.5" customWidth="1"/>
    <col min="2" max="2" width="15.83203125" customWidth="1"/>
    <col min="3" max="10" width="13" customWidth="1"/>
  </cols>
  <sheetData>
    <row r="1" spans="1:10" ht="25" customHeight="1">
      <c r="A1" s="179" t="s">
        <v>313</v>
      </c>
      <c r="B1" s="179"/>
      <c r="C1" s="179"/>
      <c r="D1" s="179"/>
      <c r="E1" s="179"/>
      <c r="F1" s="179"/>
      <c r="G1" s="179"/>
      <c r="H1" s="179"/>
      <c r="I1" s="179"/>
      <c r="J1" s="179"/>
    </row>
    <row r="2" spans="1:10" ht="18" customHeight="1">
      <c r="A2" s="89" t="s">
        <v>314</v>
      </c>
      <c r="B2" s="89"/>
      <c r="C2" s="89"/>
      <c r="D2" s="89"/>
      <c r="E2" s="89"/>
      <c r="F2" s="89"/>
      <c r="G2" s="89"/>
      <c r="H2" s="89"/>
      <c r="I2" s="89"/>
      <c r="J2" s="89"/>
    </row>
    <row r="3" spans="1:10" ht="24" customHeight="1">
      <c r="A3" s="87" t="s">
        <v>429</v>
      </c>
      <c r="B3" s="87"/>
      <c r="C3" s="87"/>
      <c r="D3" s="87"/>
      <c r="E3" s="87"/>
      <c r="F3" s="87"/>
      <c r="G3" s="87"/>
      <c r="H3" s="87"/>
      <c r="I3" s="87"/>
      <c r="J3" s="87"/>
    </row>
    <row r="4" spans="1:10" ht="15">
      <c r="A4" s="84"/>
      <c r="B4" s="84"/>
      <c r="C4" s="84"/>
      <c r="D4" s="84"/>
      <c r="E4" s="84"/>
      <c r="F4" s="84"/>
      <c r="G4" s="84"/>
      <c r="H4" s="84"/>
      <c r="I4" s="84"/>
      <c r="J4" s="84"/>
    </row>
    <row r="5" spans="1:10" ht="15" customHeight="1" thickBot="1">
      <c r="A5" s="88" t="s">
        <v>8</v>
      </c>
      <c r="B5" s="88" t="s">
        <v>9</v>
      </c>
      <c r="C5" s="88" t="s">
        <v>262</v>
      </c>
      <c r="D5" s="88" t="s">
        <v>263</v>
      </c>
      <c r="E5" s="88" t="s">
        <v>264</v>
      </c>
      <c r="F5" s="101" t="s">
        <v>265</v>
      </c>
      <c r="G5" s="88" t="s">
        <v>266</v>
      </c>
      <c r="H5" s="88" t="s">
        <v>267</v>
      </c>
      <c r="I5" s="88" t="s">
        <v>268</v>
      </c>
      <c r="J5" s="88" t="s">
        <v>269</v>
      </c>
    </row>
    <row r="6" spans="1:10" ht="15" customHeight="1">
      <c r="A6" s="85" t="s">
        <v>129</v>
      </c>
      <c r="B6" s="85"/>
      <c r="C6" s="91" t="s">
        <v>270</v>
      </c>
      <c r="D6" s="91" t="s">
        <v>270</v>
      </c>
      <c r="E6" s="91" t="s">
        <v>270</v>
      </c>
      <c r="F6" s="102" t="s">
        <v>271</v>
      </c>
      <c r="G6" s="90" t="s">
        <v>271</v>
      </c>
      <c r="H6" s="90" t="s">
        <v>271</v>
      </c>
      <c r="I6" s="90" t="s">
        <v>271</v>
      </c>
      <c r="J6" s="90" t="s">
        <v>271</v>
      </c>
    </row>
    <row r="7" spans="1:10" ht="15" customHeight="1">
      <c r="A7" s="84"/>
      <c r="B7" s="84"/>
      <c r="C7" s="84"/>
      <c r="D7" s="84"/>
      <c r="E7" s="84"/>
      <c r="F7" s="103"/>
      <c r="G7" s="84"/>
      <c r="H7" s="84"/>
      <c r="I7" s="84"/>
      <c r="J7" s="84"/>
    </row>
    <row r="8" spans="1:10" ht="15" customHeight="1">
      <c r="A8" s="86" t="s">
        <v>285</v>
      </c>
      <c r="B8" s="86"/>
      <c r="C8" s="86"/>
      <c r="D8" s="86"/>
      <c r="E8" s="86"/>
      <c r="F8" s="104"/>
      <c r="G8" s="86"/>
      <c r="H8" s="86"/>
      <c r="I8" s="86"/>
      <c r="J8" s="86"/>
    </row>
    <row r="9" spans="1:10" ht="15">
      <c r="A9" s="84" t="s">
        <v>286</v>
      </c>
      <c r="B9" s="84" t="s">
        <v>26</v>
      </c>
      <c r="C9" s="95">
        <f>'06_Operating_Model'!C39</f>
        <v>60807.600000000006</v>
      </c>
      <c r="D9" s="95">
        <f>'06_Operating_Model'!D39</f>
        <v>69731</v>
      </c>
      <c r="E9" s="95">
        <f>'06_Operating_Model'!E39</f>
        <v>73622.999999999985</v>
      </c>
      <c r="F9" s="105">
        <f>'06_Operating_Model'!F39</f>
        <v>83650.511758628578</v>
      </c>
      <c r="G9" s="95">
        <f>'06_Operating_Model'!G39</f>
        <v>95163.648894192389</v>
      </c>
      <c r="H9" s="95">
        <f>'06_Operating_Model'!H39</f>
        <v>108003.07180159677</v>
      </c>
      <c r="I9" s="95">
        <f>'06_Operating_Model'!I39</f>
        <v>121018.84281142722</v>
      </c>
      <c r="J9" s="95">
        <f>'06_Operating_Model'!J39</f>
        <v>133637.34618223616</v>
      </c>
    </row>
    <row r="10" spans="1:10" ht="15">
      <c r="A10" s="84" t="s">
        <v>287</v>
      </c>
      <c r="B10" s="84" t="s">
        <v>26</v>
      </c>
      <c r="C10" s="95">
        <f>'06_Operating_Model'!C40</f>
        <v>8096.7419999999984</v>
      </c>
      <c r="D10" s="95">
        <f>'06_Operating_Model'!D40</f>
        <v>11071.899999999994</v>
      </c>
      <c r="E10" s="95">
        <f>'06_Operating_Model'!E40</f>
        <v>11338.900000000009</v>
      </c>
      <c r="F10" s="105">
        <f>'06_Operating_Model'!F40</f>
        <v>12279.802701305853</v>
      </c>
      <c r="G10" s="95">
        <f>'06_Operating_Model'!G40</f>
        <v>13894.491273679716</v>
      </c>
      <c r="H10" s="95">
        <f>'06_Operating_Model'!H40</f>
        <v>15685.073788227262</v>
      </c>
      <c r="I10" s="95">
        <f>'06_Operating_Model'!I40</f>
        <v>17568.993649852102</v>
      </c>
      <c r="J10" s="95">
        <f>'06_Operating_Model'!J40</f>
        <v>19393.900553129326</v>
      </c>
    </row>
    <row r="11" spans="1:10" ht="32" customHeight="1">
      <c r="A11" s="84" t="s">
        <v>25</v>
      </c>
      <c r="B11" s="84" t="s">
        <v>26</v>
      </c>
      <c r="C11" s="95">
        <f>'06_Operating_Model'!C43</f>
        <v>68904.342000000004</v>
      </c>
      <c r="D11" s="95">
        <f>'06_Operating_Model'!D43</f>
        <v>80802.899999999994</v>
      </c>
      <c r="E11" s="95">
        <f>'06_Operating_Model'!E43</f>
        <v>84961.9</v>
      </c>
      <c r="F11" s="105">
        <f>'06_Operating_Model'!F43</f>
        <v>95930.314459934423</v>
      </c>
      <c r="G11" s="95">
        <f>'06_Operating_Model'!G43</f>
        <v>109058.1401678721</v>
      </c>
      <c r="H11" s="95">
        <f>'06_Operating_Model'!H43</f>
        <v>123688.14558982404</v>
      </c>
      <c r="I11" s="95">
        <f>'06_Operating_Model'!I43</f>
        <v>138587.83646127934</v>
      </c>
      <c r="J11" s="95">
        <f>'06_Operating_Model'!J43</f>
        <v>153031.24673536548</v>
      </c>
    </row>
    <row r="12" spans="1:10" ht="15">
      <c r="A12" s="84" t="s">
        <v>204</v>
      </c>
      <c r="B12" s="84" t="s">
        <v>178</v>
      </c>
      <c r="C12" s="96"/>
      <c r="D12" s="96">
        <f>'06_Operating_Model'!D48</f>
        <v>0.17268226725102442</v>
      </c>
      <c r="E12" s="96">
        <f>'06_Operating_Model'!E48</f>
        <v>5.1470924929674533E-2</v>
      </c>
      <c r="F12" s="106">
        <f>'06_Operating_Model'!F48</f>
        <v>0.12909803641319728</v>
      </c>
      <c r="G12" s="96">
        <f>'06_Operating_Model'!G48</f>
        <v>0.13684752084723484</v>
      </c>
      <c r="H12" s="96">
        <f>'06_Operating_Model'!H48</f>
        <v>0.13414867885544468</v>
      </c>
      <c r="I12" s="96">
        <f>'06_Operating_Model'!I48</f>
        <v>0.12046175322949559</v>
      </c>
      <c r="J12" s="96">
        <f>'06_Operating_Model'!J48</f>
        <v>0.10421845555054565</v>
      </c>
    </row>
    <row r="13" spans="1:10" ht="15">
      <c r="A13" s="84" t="s">
        <v>27</v>
      </c>
      <c r="B13" s="84" t="s">
        <v>26</v>
      </c>
      <c r="C13" s="95">
        <f>'06_Operating_Model'!C60</f>
        <v>2326.8209999999999</v>
      </c>
      <c r="D13" s="95">
        <f>'06_Operating_Model'!D60</f>
        <v>3295.3</v>
      </c>
      <c r="E13" s="95">
        <f>'06_Operating_Model'!E60</f>
        <v>4551.5</v>
      </c>
      <c r="F13" s="105">
        <f>'06_Operating_Model'!F60</f>
        <v>3837.212578397377</v>
      </c>
      <c r="G13" s="95">
        <f>'06_Operating_Model'!G60</f>
        <v>4144.2093263791394</v>
      </c>
      <c r="H13" s="95">
        <f>'06_Operating_Model'!H60</f>
        <v>4329.0850956438417</v>
      </c>
      <c r="I13" s="95">
        <f>'06_Operating_Model'!I60</f>
        <v>4573.3986032222183</v>
      </c>
      <c r="J13" s="95">
        <f>'06_Operating_Model'!J60</f>
        <v>4590.9374020609639</v>
      </c>
    </row>
    <row r="14" spans="1:10" ht="15">
      <c r="A14" s="114" t="s">
        <v>28</v>
      </c>
      <c r="B14" s="114" t="s">
        <v>26</v>
      </c>
      <c r="C14" s="115">
        <f t="shared" ref="C14:J14" si="0">C11+C13</f>
        <v>71231.163</v>
      </c>
      <c r="D14" s="115">
        <f t="shared" si="0"/>
        <v>84098.2</v>
      </c>
      <c r="E14" s="115">
        <f t="shared" si="0"/>
        <v>89513.4</v>
      </c>
      <c r="F14" s="116">
        <f t="shared" si="0"/>
        <v>99767.527038331798</v>
      </c>
      <c r="G14" s="115">
        <f t="shared" si="0"/>
        <v>113202.34949425125</v>
      </c>
      <c r="H14" s="115">
        <f t="shared" si="0"/>
        <v>128017.23068546788</v>
      </c>
      <c r="I14" s="115">
        <f t="shared" si="0"/>
        <v>143161.23506450155</v>
      </c>
      <c r="J14" s="115">
        <f t="shared" si="0"/>
        <v>157622.18413742643</v>
      </c>
    </row>
    <row r="15" spans="1:10" ht="15">
      <c r="A15" s="84"/>
      <c r="B15" s="84"/>
      <c r="C15" s="92"/>
      <c r="D15" s="92"/>
      <c r="E15" s="92"/>
      <c r="F15" s="107"/>
      <c r="G15" s="92"/>
      <c r="H15" s="92"/>
      <c r="I15" s="92"/>
      <c r="J15" s="92"/>
    </row>
    <row r="16" spans="1:10" ht="15">
      <c r="A16" s="86" t="s">
        <v>315</v>
      </c>
      <c r="B16" s="86"/>
      <c r="C16" s="94"/>
      <c r="D16" s="94"/>
      <c r="E16" s="94"/>
      <c r="F16" s="108"/>
      <c r="G16" s="94"/>
      <c r="H16" s="94"/>
      <c r="I16" s="94"/>
      <c r="J16" s="94"/>
    </row>
    <row r="17" spans="1:10" ht="15">
      <c r="A17" s="84" t="s">
        <v>29</v>
      </c>
      <c r="B17" s="84" t="s">
        <v>26</v>
      </c>
      <c r="C17" s="95">
        <f>'02_Raw_Financials'!K11</f>
        <v>23904.578000000001</v>
      </c>
      <c r="D17" s="95">
        <f>'02_Raw_Financials'!L11</f>
        <v>26197.3</v>
      </c>
      <c r="E17" s="95">
        <f>'02_Raw_Financials'!M11</f>
        <v>25389.200000000001</v>
      </c>
      <c r="F17" s="105">
        <f>'06_Operating_Model'!F53</f>
        <v>27846.874560000004</v>
      </c>
      <c r="G17" s="95">
        <f>'06_Operating_Model'!G53</f>
        <v>29820.675652992002</v>
      </c>
      <c r="H17" s="95">
        <f>'06_Operating_Model'!H53</f>
        <v>33320.622891018567</v>
      </c>
      <c r="I17" s="95">
        <f>'06_Operating_Model'!I53</f>
        <v>36939.299012615193</v>
      </c>
      <c r="J17" s="95">
        <f>'06_Operating_Model'!J53</f>
        <v>40591.939526361952</v>
      </c>
    </row>
    <row r="18" spans="1:10" ht="15">
      <c r="A18" s="84" t="s">
        <v>30</v>
      </c>
      <c r="B18" s="84" t="s">
        <v>26</v>
      </c>
      <c r="C18" s="95">
        <f>'02_Raw_Financials'!K12</f>
        <v>1075.1950000000002</v>
      </c>
      <c r="D18" s="95">
        <f>'02_Raw_Financials'!L12</f>
        <v>3010.3</v>
      </c>
      <c r="E18" s="95">
        <f>'02_Raw_Financials'!M12</f>
        <v>2084.6999999999998</v>
      </c>
      <c r="F18" s="105">
        <f>'06_Operating_Model'!F72</f>
        <v>2068.737154285714</v>
      </c>
      <c r="G18" s="95">
        <f>'06_Operating_Model'!G72</f>
        <v>2147.5528711199995</v>
      </c>
      <c r="H18" s="95">
        <f>'06_Operating_Model'!H72</f>
        <v>2234.9248811464045</v>
      </c>
      <c r="I18" s="95">
        <f>'06_Operating_Model'!I72</f>
        <v>2307.6072898870761</v>
      </c>
      <c r="J18" s="95">
        <f>'06_Operating_Model'!J72</f>
        <v>2361.7639484716137</v>
      </c>
    </row>
    <row r="19" spans="1:10" ht="15">
      <c r="A19" s="84" t="s">
        <v>316</v>
      </c>
      <c r="B19" s="84" t="s">
        <v>26</v>
      </c>
      <c r="C19" s="95">
        <f>SUM('02_Raw_Financials'!K13:K19)</f>
        <v>27606.998</v>
      </c>
      <c r="D19" s="95">
        <f>SUM('02_Raw_Financials'!L13:L19)</f>
        <v>33537</v>
      </c>
      <c r="E19" s="95">
        <f>SUM('02_Raw_Financials'!M13:M19)</f>
        <v>45504.6</v>
      </c>
      <c r="F19" s="107">
        <f>'06_Operating_Model'!F56-F18-F20</f>
        <v>54242.407997714297</v>
      </c>
      <c r="G19" s="92">
        <f>'06_Operating_Model'!G56-G18-G20</f>
        <v>61972.78265042881</v>
      </c>
      <c r="H19" s="92">
        <f>'06_Operating_Model'!H56-H18-H20</f>
        <v>70113.398560728994</v>
      </c>
      <c r="I19" s="92">
        <f>'06_Operating_Model'!I56-I18-I20</f>
        <v>78763.668300303834</v>
      </c>
      <c r="J19" s="92">
        <f>'06_Operating_Model'!J56-J18-J20</f>
        <v>87162.725542505388</v>
      </c>
    </row>
    <row r="20" spans="1:10" ht="15">
      <c r="A20" s="84" t="s">
        <v>38</v>
      </c>
      <c r="B20" s="84" t="s">
        <v>26</v>
      </c>
      <c r="C20" s="95">
        <f>'02_Raw_Financials'!K20</f>
        <v>6425.7290000000003</v>
      </c>
      <c r="D20" s="95">
        <f>'02_Raw_Financials'!L20</f>
        <v>8680.2000000000007</v>
      </c>
      <c r="E20" s="95">
        <f>'02_Raw_Financials'!M20</f>
        <v>10808.2</v>
      </c>
      <c r="F20" s="105">
        <f>'06_Operating_Model'!F67</f>
        <v>11515.735652571429</v>
      </c>
      <c r="G20" s="95">
        <f>'06_Operating_Model'!G67</f>
        <v>12961.159545484801</v>
      </c>
      <c r="H20" s="95">
        <f>'06_Operating_Model'!H67</f>
        <v>14624.348973709721</v>
      </c>
      <c r="I20" s="95">
        <f>'06_Operating_Model'!I67</f>
        <v>16292.051481146002</v>
      </c>
      <c r="J20" s="95">
        <f>'06_Operating_Model'!J67</f>
        <v>17990.806003634472</v>
      </c>
    </row>
    <row r="21" spans="1:10" ht="15">
      <c r="A21" s="114" t="s">
        <v>317</v>
      </c>
      <c r="B21" s="114" t="s">
        <v>26</v>
      </c>
      <c r="C21" s="115">
        <f t="shared" ref="C21:J21" si="1">SUM(C17:C20)</f>
        <v>59012.5</v>
      </c>
      <c r="D21" s="115">
        <f t="shared" si="1"/>
        <v>71424.800000000003</v>
      </c>
      <c r="E21" s="115">
        <f t="shared" si="1"/>
        <v>83786.7</v>
      </c>
      <c r="F21" s="116">
        <f t="shared" si="1"/>
        <v>95673.755364571436</v>
      </c>
      <c r="G21" s="115">
        <f t="shared" si="1"/>
        <v>106902.17072002561</v>
      </c>
      <c r="H21" s="115">
        <f t="shared" si="1"/>
        <v>120293.2953066037</v>
      </c>
      <c r="I21" s="115">
        <f t="shared" si="1"/>
        <v>134302.62608395208</v>
      </c>
      <c r="J21" s="115">
        <f t="shared" si="1"/>
        <v>148107.23502097343</v>
      </c>
    </row>
    <row r="22" spans="1:10" ht="15">
      <c r="A22" s="84" t="s">
        <v>330</v>
      </c>
      <c r="B22" s="84" t="s">
        <v>26</v>
      </c>
      <c r="C22" s="92">
        <f t="shared" ref="C22:J22" si="2">C14-C21</f>
        <v>12218.663</v>
      </c>
      <c r="D22" s="92">
        <f t="shared" si="2"/>
        <v>12673.399999999994</v>
      </c>
      <c r="E22" s="92">
        <f t="shared" si="2"/>
        <v>5726.6999999999971</v>
      </c>
      <c r="F22" s="107">
        <f t="shared" si="2"/>
        <v>4093.7716737603623</v>
      </c>
      <c r="G22" s="92">
        <f t="shared" si="2"/>
        <v>6300.178774225642</v>
      </c>
      <c r="H22" s="92">
        <f t="shared" si="2"/>
        <v>7723.9353788641747</v>
      </c>
      <c r="I22" s="92">
        <f t="shared" si="2"/>
        <v>8858.6089805494703</v>
      </c>
      <c r="J22" s="92">
        <f t="shared" si="2"/>
        <v>9514.9491164530045</v>
      </c>
    </row>
    <row r="23" spans="1:10" ht="15">
      <c r="A23" s="84" t="s">
        <v>513</v>
      </c>
      <c r="B23" s="84" t="s">
        <v>26</v>
      </c>
      <c r="C23" s="92">
        <f>'06_Operating_Model'!C63-C22</f>
        <v>-846.45499999999993</v>
      </c>
      <c r="D23" s="92">
        <f>'06_Operating_Model'!D63-D22</f>
        <v>-1121.7999999999938</v>
      </c>
      <c r="E23" s="92">
        <f>'06_Operating_Model'!E63-E22</f>
        <v>-3102.9999999999968</v>
      </c>
      <c r="F23" s="107">
        <f>'06_Operating_Model'!F63-F22</f>
        <v>0</v>
      </c>
      <c r="G23" s="92">
        <f>'06_Operating_Model'!G63-G22</f>
        <v>-7.2759576141834259E-12</v>
      </c>
      <c r="H23" s="92">
        <f>'06_Operating_Model'!H63-H22</f>
        <v>1.9099388737231493E-11</v>
      </c>
      <c r="I23" s="92">
        <f>'06_Operating_Model'!I63-I22</f>
        <v>-2.7284841053187847E-11</v>
      </c>
      <c r="J23" s="92">
        <f>'06_Operating_Model'!J63-J22</f>
        <v>0</v>
      </c>
    </row>
    <row r="24" spans="1:10" ht="15">
      <c r="A24" s="114" t="s">
        <v>318</v>
      </c>
      <c r="B24" s="114" t="s">
        <v>26</v>
      </c>
      <c r="C24" s="115">
        <f t="shared" ref="C24:J24" si="3">C22+C23</f>
        <v>11372.208000000001</v>
      </c>
      <c r="D24" s="115">
        <f t="shared" si="3"/>
        <v>11551.6</v>
      </c>
      <c r="E24" s="115">
        <f t="shared" si="3"/>
        <v>2623.7000000000003</v>
      </c>
      <c r="F24" s="116">
        <f t="shared" si="3"/>
        <v>4093.7716737603623</v>
      </c>
      <c r="G24" s="115">
        <f t="shared" si="3"/>
        <v>6300.1787742256347</v>
      </c>
      <c r="H24" s="115">
        <f t="shared" si="3"/>
        <v>7723.9353788641938</v>
      </c>
      <c r="I24" s="115">
        <f t="shared" si="3"/>
        <v>8858.608980549443</v>
      </c>
      <c r="J24" s="115">
        <f t="shared" si="3"/>
        <v>9514.9491164530045</v>
      </c>
    </row>
    <row r="25" spans="1:10" ht="15">
      <c r="A25" s="84" t="s">
        <v>228</v>
      </c>
      <c r="B25" s="84" t="s">
        <v>178</v>
      </c>
      <c r="C25" s="93">
        <f t="shared" ref="C25:J25" si="4">C24/C11</f>
        <v>0.16504341627701777</v>
      </c>
      <c r="D25" s="93">
        <f t="shared" si="4"/>
        <v>0.14296021553681862</v>
      </c>
      <c r="E25" s="93">
        <f t="shared" si="4"/>
        <v>3.088090073315216E-2</v>
      </c>
      <c r="F25" s="109">
        <f t="shared" si="4"/>
        <v>4.267443192287395E-2</v>
      </c>
      <c r="G25" s="93">
        <f t="shared" si="4"/>
        <v>5.7768991517073667E-2</v>
      </c>
      <c r="H25" s="93">
        <f t="shared" si="4"/>
        <v>6.244685246133766E-2</v>
      </c>
      <c r="I25" s="93">
        <f t="shared" si="4"/>
        <v>6.3920537377206904E-2</v>
      </c>
      <c r="J25" s="93">
        <f t="shared" si="4"/>
        <v>6.2176511787210724E-2</v>
      </c>
    </row>
    <row r="26" spans="1:10" ht="15">
      <c r="A26" s="114" t="s">
        <v>249</v>
      </c>
      <c r="B26" s="114" t="s">
        <v>26</v>
      </c>
      <c r="C26" s="115">
        <f t="shared" ref="C26:J26" si="5">C24+C20</f>
        <v>17797.937000000002</v>
      </c>
      <c r="D26" s="115">
        <f t="shared" si="5"/>
        <v>20231.800000000003</v>
      </c>
      <c r="E26" s="115">
        <f t="shared" si="5"/>
        <v>13431.900000000001</v>
      </c>
      <c r="F26" s="116">
        <f t="shared" si="5"/>
        <v>15609.507326331792</v>
      </c>
      <c r="G26" s="115">
        <f t="shared" si="5"/>
        <v>19261.338319710434</v>
      </c>
      <c r="H26" s="115">
        <f t="shared" si="5"/>
        <v>22348.284352573915</v>
      </c>
      <c r="I26" s="115">
        <f t="shared" si="5"/>
        <v>25150.660461695443</v>
      </c>
      <c r="J26" s="115">
        <f t="shared" si="5"/>
        <v>27505.755120087477</v>
      </c>
    </row>
    <row r="27" spans="1:10" ht="15">
      <c r="A27" s="84" t="s">
        <v>227</v>
      </c>
      <c r="B27" s="84" t="s">
        <v>178</v>
      </c>
      <c r="C27" s="93">
        <f t="shared" ref="C27:J27" si="6">C26/C11</f>
        <v>0.2582992084881966</v>
      </c>
      <c r="D27" s="93">
        <f t="shared" si="6"/>
        <v>0.25038457778124307</v>
      </c>
      <c r="E27" s="93">
        <f t="shared" si="6"/>
        <v>0.15809321590030356</v>
      </c>
      <c r="F27" s="109">
        <f t="shared" si="6"/>
        <v>0.16271714957059949</v>
      </c>
      <c r="G27" s="93">
        <f t="shared" si="6"/>
        <v>0.17661531995742499</v>
      </c>
      <c r="H27" s="93">
        <f t="shared" si="6"/>
        <v>0.18068250798007382</v>
      </c>
      <c r="I27" s="93">
        <f t="shared" si="6"/>
        <v>0.18147812321698517</v>
      </c>
      <c r="J27" s="93">
        <f t="shared" si="6"/>
        <v>0.17973946959768775</v>
      </c>
    </row>
    <row r="28" spans="1:10" ht="15">
      <c r="A28" s="114" t="s">
        <v>319</v>
      </c>
      <c r="B28" s="114" t="s">
        <v>26</v>
      </c>
      <c r="C28" s="115">
        <f t="shared" ref="C28:J28" si="7">C26+C18</f>
        <v>18873.132000000001</v>
      </c>
      <c r="D28" s="115">
        <f t="shared" si="7"/>
        <v>23242.100000000002</v>
      </c>
      <c r="E28" s="115">
        <f t="shared" si="7"/>
        <v>15516.600000000002</v>
      </c>
      <c r="F28" s="116">
        <f t="shared" si="7"/>
        <v>17678.244480617504</v>
      </c>
      <c r="G28" s="115">
        <f t="shared" si="7"/>
        <v>21408.891190830433</v>
      </c>
      <c r="H28" s="115">
        <f t="shared" si="7"/>
        <v>24583.209233720321</v>
      </c>
      <c r="I28" s="115">
        <f t="shared" si="7"/>
        <v>27458.26775158252</v>
      </c>
      <c r="J28" s="115">
        <f t="shared" si="7"/>
        <v>29867.51906855909</v>
      </c>
    </row>
    <row r="29" spans="1:10" ht="15">
      <c r="A29" s="84" t="s">
        <v>300</v>
      </c>
      <c r="B29" s="84" t="s">
        <v>178</v>
      </c>
      <c r="C29" s="93">
        <f t="shared" ref="C29:J29" si="8">C28/C11</f>
        <v>0.27390337752590393</v>
      </c>
      <c r="D29" s="93">
        <f t="shared" si="8"/>
        <v>0.2876394287828779</v>
      </c>
      <c r="E29" s="93">
        <f t="shared" si="8"/>
        <v>0.18263009654915913</v>
      </c>
      <c r="F29" s="109">
        <f t="shared" si="8"/>
        <v>0.18428214876748764</v>
      </c>
      <c r="G29" s="93">
        <f t="shared" si="8"/>
        <v>0.1963071363391668</v>
      </c>
      <c r="H29" s="93">
        <f t="shared" si="8"/>
        <v>0.19875153852854602</v>
      </c>
      <c r="I29" s="93">
        <f t="shared" si="8"/>
        <v>0.19812898774312135</v>
      </c>
      <c r="J29" s="93">
        <f t="shared" si="8"/>
        <v>0.19517268339457836</v>
      </c>
    </row>
    <row r="30" spans="1:10" ht="15">
      <c r="A30" s="84"/>
      <c r="B30" s="84"/>
      <c r="C30" s="84"/>
      <c r="D30" s="84"/>
      <c r="E30" s="84"/>
      <c r="F30" s="103"/>
      <c r="G30" s="84"/>
      <c r="H30" s="84"/>
      <c r="I30" s="84"/>
      <c r="J30" s="84"/>
    </row>
    <row r="31" spans="1:10" ht="15">
      <c r="A31" s="86" t="s">
        <v>320</v>
      </c>
      <c r="B31" s="86"/>
      <c r="C31" s="86"/>
      <c r="D31" s="86"/>
      <c r="E31" s="86"/>
      <c r="F31" s="104"/>
      <c r="G31" s="86"/>
      <c r="H31" s="86"/>
      <c r="I31" s="86"/>
      <c r="J31" s="86"/>
    </row>
    <row r="32" spans="1:10" ht="15">
      <c r="A32" s="84" t="s">
        <v>39</v>
      </c>
      <c r="B32" s="84" t="s">
        <v>26</v>
      </c>
      <c r="C32" s="95">
        <f>'02_Raw_Financials'!K21</f>
        <v>4169.3540000000003</v>
      </c>
      <c r="D32" s="95">
        <f>'02_Raw_Financials'!L21</f>
        <v>5080</v>
      </c>
      <c r="E32" s="95">
        <f>'02_Raw_Financials'!M21</f>
        <v>5890.8</v>
      </c>
      <c r="F32" s="107">
        <f>'08_Balance_Sheet'!F77</f>
        <v>6219.9359999999997</v>
      </c>
      <c r="G32" s="92">
        <f>'08_Balance_Sheet'!G77</f>
        <v>6020.0110034999998</v>
      </c>
      <c r="H32" s="92">
        <f>'08_Balance_Sheet'!H77</f>
        <v>5779.7261527950004</v>
      </c>
      <c r="I32" s="92">
        <f>'08_Balance_Sheet'!I77</f>
        <v>5661.6000114374992</v>
      </c>
      <c r="J32" s="92">
        <f>'08_Balance_Sheet'!J77</f>
        <v>5689.2306489946877</v>
      </c>
    </row>
    <row r="33" spans="1:10" ht="15">
      <c r="A33" s="84" t="s">
        <v>321</v>
      </c>
      <c r="B33" s="84" t="s">
        <v>178</v>
      </c>
      <c r="C33" s="93">
        <f>C32/C11</f>
        <v>6.0509307236400287E-2</v>
      </c>
      <c r="D33" s="93">
        <f>D32/D11</f>
        <v>6.286903069073016E-2</v>
      </c>
      <c r="E33" s="93">
        <f>E32/E11</f>
        <v>6.9334607630008288E-2</v>
      </c>
      <c r="F33" s="110">
        <f>F32/F11</f>
        <v>6.4838065370855985E-2</v>
      </c>
      <c r="G33" s="99">
        <f>G32/G11</f>
        <v>5.5200015278396068E-2</v>
      </c>
      <c r="H33" s="99">
        <f>H32/H11</f>
        <v>4.672821413267679E-2</v>
      </c>
      <c r="I33" s="99">
        <f>I32/I11</f>
        <v>4.0852070109481206E-2</v>
      </c>
      <c r="J33" s="99">
        <f>J32/J11</f>
        <v>3.7176921513506225E-2</v>
      </c>
    </row>
    <row r="34" spans="1:10" ht="15">
      <c r="A34" s="84" t="s">
        <v>41</v>
      </c>
      <c r="B34" s="84" t="s">
        <v>26</v>
      </c>
      <c r="C34" s="95">
        <f>'02_Raw_Financials'!K23</f>
        <v>0</v>
      </c>
      <c r="D34" s="95">
        <f>'02_Raw_Financials'!L23</f>
        <v>0</v>
      </c>
      <c r="E34" s="95">
        <f>'02_Raw_Financials'!M23</f>
        <v>1796.4</v>
      </c>
      <c r="F34" s="111">
        <v>0</v>
      </c>
      <c r="G34" s="100">
        <v>0</v>
      </c>
      <c r="H34" s="100">
        <v>0</v>
      </c>
      <c r="I34" s="100">
        <v>0</v>
      </c>
      <c r="J34" s="100">
        <v>0</v>
      </c>
    </row>
    <row r="35" spans="1:10" ht="15">
      <c r="A35" s="114" t="s">
        <v>42</v>
      </c>
      <c r="B35" s="114" t="s">
        <v>26</v>
      </c>
      <c r="C35" s="117">
        <f>'02_Raw_Financials'!K24</f>
        <v>8049.3089999999993</v>
      </c>
      <c r="D35" s="117">
        <f>'02_Raw_Financials'!L24</f>
        <v>7593.4</v>
      </c>
      <c r="E35" s="117">
        <f>'02_Raw_Financials'!M24</f>
        <v>-1960.5</v>
      </c>
      <c r="F35" s="116">
        <f>F24-F32-F34</f>
        <v>-2126.1643262396374</v>
      </c>
      <c r="G35" s="115">
        <f>G24-G32-G34</f>
        <v>280.16777072563491</v>
      </c>
      <c r="H35" s="115">
        <f>H24-H32-H34</f>
        <v>1944.2092260691934</v>
      </c>
      <c r="I35" s="115">
        <f>I24-I32-I34</f>
        <v>3197.0089691119438</v>
      </c>
      <c r="J35" s="115">
        <f>J24-J32-J34</f>
        <v>3825.7184674583168</v>
      </c>
    </row>
    <row r="36" spans="1:10" ht="15">
      <c r="A36" s="84" t="s">
        <v>233</v>
      </c>
      <c r="B36" s="84" t="s">
        <v>178</v>
      </c>
      <c r="C36" s="93">
        <f>IF(C35=0,0,C37/C35)</f>
        <v>-1.5300568036337035E-2</v>
      </c>
      <c r="D36" s="93">
        <f>IF(D35=0,0,D37/D35)</f>
        <v>4.4117259725551139E-2</v>
      </c>
      <c r="E36" s="93">
        <f>IF(E35=0,0,E37/E35)</f>
        <v>-0.22091303238969651</v>
      </c>
      <c r="F36" s="110">
        <v>0.252</v>
      </c>
      <c r="G36" s="99">
        <v>0.252</v>
      </c>
      <c r="H36" s="99">
        <v>0.252</v>
      </c>
      <c r="I36" s="99">
        <v>0.252</v>
      </c>
      <c r="J36" s="99">
        <v>0.252</v>
      </c>
    </row>
    <row r="37" spans="1:10" ht="15">
      <c r="A37" s="84" t="s">
        <v>322</v>
      </c>
      <c r="B37" s="84" t="s">
        <v>26</v>
      </c>
      <c r="C37" s="95">
        <f>'02_Raw_Financials'!K25</f>
        <v>-123.15900000000001</v>
      </c>
      <c r="D37" s="95">
        <f>'02_Raw_Financials'!L25</f>
        <v>335</v>
      </c>
      <c r="E37" s="95">
        <f>'02_Raw_Financials'!M25</f>
        <v>433.1</v>
      </c>
      <c r="F37" s="107">
        <f>MAX(F35,0)*F36</f>
        <v>0</v>
      </c>
      <c r="G37" s="92">
        <f>MAX(G35,0)*G36</f>
        <v>70.602278222859994</v>
      </c>
      <c r="H37" s="92">
        <f>MAX(H35,0)*H36</f>
        <v>489.94072496943676</v>
      </c>
      <c r="I37" s="92">
        <f>MAX(I35,0)*I36</f>
        <v>805.64626021620984</v>
      </c>
      <c r="J37" s="92">
        <f>MAX(J35,0)*J36</f>
        <v>964.08105379949586</v>
      </c>
    </row>
    <row r="38" spans="1:10" ht="15">
      <c r="A38" s="114" t="s">
        <v>44</v>
      </c>
      <c r="B38" s="114" t="s">
        <v>26</v>
      </c>
      <c r="C38" s="117">
        <f>'02_Raw_Financials'!K26</f>
        <v>8172.4679999999989</v>
      </c>
      <c r="D38" s="117">
        <f>'02_Raw_Financials'!L26</f>
        <v>7258.4</v>
      </c>
      <c r="E38" s="117">
        <f>'02_Raw_Financials'!M26</f>
        <v>-2393.6</v>
      </c>
      <c r="F38" s="116">
        <f>F35-F37</f>
        <v>-2126.1643262396374</v>
      </c>
      <c r="G38" s="115">
        <f>G35-G37</f>
        <v>209.56549250277493</v>
      </c>
      <c r="H38" s="115">
        <f>H35-H37</f>
        <v>1454.2685010997566</v>
      </c>
      <c r="I38" s="115">
        <f>I35-I37</f>
        <v>2391.3627088957337</v>
      </c>
      <c r="J38" s="115">
        <f>J35-J37</f>
        <v>2861.6374136588211</v>
      </c>
    </row>
    <row r="39" spans="1:10" ht="15">
      <c r="A39" s="84" t="s">
        <v>229</v>
      </c>
      <c r="B39" s="84" t="s">
        <v>178</v>
      </c>
      <c r="C39" s="93">
        <f t="shared" ref="C39:J39" si="9">C38/C11</f>
        <v>0.11860599437986068</v>
      </c>
      <c r="D39" s="93">
        <f t="shared" si="9"/>
        <v>8.9828459127085786E-2</v>
      </c>
      <c r="E39" s="93">
        <f t="shared" si="9"/>
        <v>-2.817262796618249E-2</v>
      </c>
      <c r="F39" s="109">
        <f t="shared" si="9"/>
        <v>-2.2163633447982035E-2</v>
      </c>
      <c r="G39" s="93">
        <f t="shared" si="9"/>
        <v>1.9215942265308475E-3</v>
      </c>
      <c r="H39" s="93">
        <f t="shared" si="9"/>
        <v>1.1757541469838326E-2</v>
      </c>
      <c r="I39" s="93">
        <f t="shared" si="9"/>
        <v>1.7255213516258815E-2</v>
      </c>
      <c r="J39" s="93">
        <f t="shared" si="9"/>
        <v>1.869969352473097E-2</v>
      </c>
    </row>
    <row r="40" spans="1:10" ht="15">
      <c r="A40" s="84"/>
      <c r="B40" s="84"/>
      <c r="C40" s="84"/>
      <c r="D40" s="84"/>
      <c r="E40" s="84"/>
      <c r="F40" s="103"/>
      <c r="G40" s="84"/>
      <c r="H40" s="84"/>
      <c r="I40" s="84"/>
      <c r="J40" s="84"/>
    </row>
    <row r="41" spans="1:10" ht="15">
      <c r="A41" s="86" t="s">
        <v>323</v>
      </c>
      <c r="B41" s="86"/>
      <c r="C41" s="86"/>
      <c r="D41" s="86"/>
      <c r="E41" s="86"/>
      <c r="F41" s="104"/>
      <c r="G41" s="86"/>
      <c r="H41" s="86"/>
      <c r="I41" s="86"/>
      <c r="J41" s="86"/>
    </row>
    <row r="42" spans="1:10" ht="15">
      <c r="A42" s="84" t="s">
        <v>324</v>
      </c>
      <c r="B42" s="84" t="s">
        <v>329</v>
      </c>
      <c r="C42" s="98">
        <f>'02_Raw_Financials'!K26/'02_Raw_Financials'!K28</f>
        <v>38.620424365578181</v>
      </c>
      <c r="D42" s="98">
        <f>'02_Raw_Financials'!L26/'02_Raw_Financials'!L28</f>
        <v>38.676400063942026</v>
      </c>
      <c r="E42" s="98">
        <f>'02_Raw_Financials'!M26/'02_Raw_Financials'!M28</f>
        <v>38.681318681318679</v>
      </c>
      <c r="F42" s="112">
        <f>E42*(1+F43)</f>
        <v>38.681318681318679</v>
      </c>
      <c r="G42" s="98">
        <f>F42*(1+G43)</f>
        <v>38.681318681318679</v>
      </c>
      <c r="H42" s="98">
        <f>G42*(1+H43)</f>
        <v>38.681318681318679</v>
      </c>
      <c r="I42" s="98">
        <f>H42*(1+I43)</f>
        <v>38.681318681318679</v>
      </c>
      <c r="J42" s="98">
        <f>I42*(1+J43)</f>
        <v>38.681318681318679</v>
      </c>
    </row>
    <row r="43" spans="1:10" ht="15">
      <c r="A43" s="84" t="s">
        <v>325</v>
      </c>
      <c r="B43" s="84" t="s">
        <v>178</v>
      </c>
      <c r="C43" s="93"/>
      <c r="D43" s="93">
        <f>D42/C42-1</f>
        <v>1.4493807171558348E-3</v>
      </c>
      <c r="E43" s="93">
        <f>E42/D42-1</f>
        <v>1.2717360893255147E-4</v>
      </c>
      <c r="F43" s="110">
        <v>0</v>
      </c>
      <c r="G43" s="99">
        <v>0</v>
      </c>
      <c r="H43" s="99">
        <v>0</v>
      </c>
      <c r="I43" s="99">
        <v>0</v>
      </c>
      <c r="J43" s="99">
        <v>0</v>
      </c>
    </row>
    <row r="44" spans="1:10" ht="15">
      <c r="A44" s="114" t="s">
        <v>47</v>
      </c>
      <c r="B44" s="114" t="s">
        <v>46</v>
      </c>
      <c r="C44" s="118">
        <f>'02_Raw_Financials'!K28</f>
        <v>211.61</v>
      </c>
      <c r="D44" s="118">
        <f>'02_Raw_Financials'!L28</f>
        <v>187.67</v>
      </c>
      <c r="E44" s="118">
        <f>'02_Raw_Financials'!M28</f>
        <v>-61.88</v>
      </c>
      <c r="F44" s="119">
        <f>F38/F42</f>
        <v>-54.966180024945174</v>
      </c>
      <c r="G44" s="120">
        <f>G38/G42</f>
        <v>5.4177442664069657</v>
      </c>
      <c r="H44" s="120">
        <f>H38/H42</f>
        <v>37.596145909113027</v>
      </c>
      <c r="I44" s="120">
        <f>I38/I42</f>
        <v>61.82216094020221</v>
      </c>
      <c r="J44" s="120">
        <f>J38/J42</f>
        <v>73.979830864475204</v>
      </c>
    </row>
    <row r="45" spans="1:10" ht="15">
      <c r="A45" s="84" t="s">
        <v>326</v>
      </c>
      <c r="B45" s="84" t="s">
        <v>178</v>
      </c>
      <c r="C45" s="93"/>
      <c r="D45" s="93">
        <f t="shared" ref="D45:J45" si="10">IF(C44=0,0,D44/C44-1)</f>
        <v>-0.11313264968574277</v>
      </c>
      <c r="E45" s="93">
        <f t="shared" si="10"/>
        <v>-1.3297277135397241</v>
      </c>
      <c r="F45" s="109">
        <f t="shared" si="10"/>
        <v>-0.11172947600282523</v>
      </c>
      <c r="G45" s="93">
        <f t="shared" si="10"/>
        <v>-1.0985650497078066</v>
      </c>
      <c r="H45" s="93">
        <f t="shared" si="10"/>
        <v>5.9394463932581845</v>
      </c>
      <c r="I45" s="93">
        <f t="shared" si="10"/>
        <v>0.64437496039233588</v>
      </c>
      <c r="J45" s="93">
        <f t="shared" si="10"/>
        <v>0.19665553159865379</v>
      </c>
    </row>
    <row r="46" spans="1:10" ht="15">
      <c r="A46" s="84"/>
      <c r="B46" s="84"/>
      <c r="C46" s="84"/>
      <c r="D46" s="84"/>
      <c r="E46" s="84"/>
      <c r="F46" s="103"/>
      <c r="G46" s="84"/>
      <c r="H46" s="84"/>
      <c r="I46" s="84"/>
      <c r="J46" s="84"/>
    </row>
    <row r="47" spans="1:10" ht="15">
      <c r="A47" s="86" t="s">
        <v>559</v>
      </c>
      <c r="B47" s="86"/>
      <c r="C47" s="86"/>
      <c r="D47" s="86"/>
      <c r="E47" s="86"/>
      <c r="F47" s="104"/>
      <c r="G47" s="86"/>
      <c r="H47" s="86"/>
      <c r="I47" s="86"/>
      <c r="J47" s="86"/>
    </row>
    <row r="48" spans="1:10" ht="15">
      <c r="A48" s="84" t="s">
        <v>327</v>
      </c>
      <c r="B48" s="84" t="s">
        <v>26</v>
      </c>
      <c r="C48" s="92">
        <f t="shared" ref="C48:J48" si="11">C14-C21-C32-C34-C35</f>
        <v>0</v>
      </c>
      <c r="D48" s="92">
        <f t="shared" si="11"/>
        <v>0</v>
      </c>
      <c r="E48" s="92">
        <f t="shared" si="11"/>
        <v>-3.1832314562052488E-12</v>
      </c>
      <c r="F48" s="107">
        <f t="shared" si="11"/>
        <v>0</v>
      </c>
      <c r="G48" s="92">
        <f t="shared" si="11"/>
        <v>7.2759576141834259E-12</v>
      </c>
      <c r="H48" s="92">
        <f t="shared" si="11"/>
        <v>-1.9099388737231493E-11</v>
      </c>
      <c r="I48" s="92">
        <f t="shared" si="11"/>
        <v>2.7284841053187847E-11</v>
      </c>
      <c r="J48" s="92">
        <f t="shared" si="11"/>
        <v>0</v>
      </c>
    </row>
    <row r="49" spans="1:10" ht="15">
      <c r="A49" s="84" t="s">
        <v>328</v>
      </c>
      <c r="B49" s="84" t="s">
        <v>26</v>
      </c>
      <c r="C49" s="92">
        <f t="shared" ref="C49:J49" si="12">C35-C37-C38</f>
        <v>0</v>
      </c>
      <c r="D49" s="92">
        <f t="shared" si="12"/>
        <v>0</v>
      </c>
      <c r="E49" s="92">
        <f t="shared" si="12"/>
        <v>0</v>
      </c>
      <c r="F49" s="107">
        <f t="shared" si="12"/>
        <v>0</v>
      </c>
      <c r="G49" s="92">
        <f t="shared" si="12"/>
        <v>0</v>
      </c>
      <c r="H49" s="92">
        <f t="shared" si="12"/>
        <v>0</v>
      </c>
      <c r="I49" s="92">
        <f t="shared" si="12"/>
        <v>0</v>
      </c>
      <c r="J49" s="92">
        <f t="shared" si="12"/>
        <v>0</v>
      </c>
    </row>
    <row r="50" spans="1:10" ht="15">
      <c r="A50" s="84"/>
      <c r="B50" s="84"/>
      <c r="C50" s="92"/>
      <c r="D50" s="92"/>
      <c r="E50" s="92"/>
      <c r="F50" s="107"/>
      <c r="G50" s="92"/>
      <c r="H50" s="92"/>
      <c r="I50" s="92"/>
      <c r="J50" s="92"/>
    </row>
    <row r="51" spans="1:10" ht="15">
      <c r="A51" s="84"/>
      <c r="B51" s="84"/>
      <c r="C51" s="92"/>
      <c r="D51" s="92"/>
      <c r="E51" s="92"/>
      <c r="F51" s="107"/>
      <c r="G51" s="92"/>
      <c r="H51" s="92"/>
      <c r="I51" s="92"/>
      <c r="J51" s="92"/>
    </row>
    <row r="52" spans="1:10" ht="15">
      <c r="A52" s="84"/>
      <c r="B52" s="84"/>
      <c r="C52" s="92"/>
      <c r="D52" s="92"/>
      <c r="E52" s="92"/>
      <c r="F52" s="107"/>
      <c r="G52" s="92"/>
      <c r="H52" s="92"/>
      <c r="I52" s="92"/>
      <c r="J52" s="92"/>
    </row>
    <row r="53" spans="1:10" ht="15">
      <c r="A53" s="84"/>
      <c r="B53" s="84"/>
      <c r="C53" s="97"/>
      <c r="D53" s="97"/>
      <c r="E53" s="97"/>
      <c r="F53" s="113"/>
      <c r="G53" s="97"/>
      <c r="H53" s="97"/>
      <c r="I53" s="97"/>
      <c r="J53" s="9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92"/>
  <sheetViews>
    <sheetView showGridLines="0" workbookViewId="0">
      <selection activeCell="J46" sqref="J46"/>
    </sheetView>
  </sheetViews>
  <sheetFormatPr baseColWidth="10" defaultColWidth="8.83203125" defaultRowHeight="14"/>
  <cols>
    <col min="1" max="1" width="40.83203125" customWidth="1"/>
    <col min="2" max="2" width="17.5" customWidth="1"/>
    <col min="3" max="10" width="13.6640625" customWidth="1"/>
  </cols>
  <sheetData>
    <row r="1" spans="1:10" ht="28" customHeight="1" thickBot="1">
      <c r="A1" s="131" t="s">
        <v>560</v>
      </c>
      <c r="B1" s="131"/>
      <c r="C1" s="131"/>
      <c r="D1" s="131"/>
      <c r="E1" s="131"/>
      <c r="F1" s="131"/>
      <c r="G1" s="131"/>
      <c r="H1" s="131"/>
      <c r="I1" s="131"/>
      <c r="J1" s="131"/>
    </row>
    <row r="2" spans="1:10" ht="30" customHeight="1" thickTop="1">
      <c r="A2" s="156" t="s">
        <v>374</v>
      </c>
      <c r="B2" s="156"/>
      <c r="C2" s="156"/>
      <c r="D2" s="156"/>
      <c r="E2" s="156"/>
      <c r="F2" s="156"/>
      <c r="G2" s="156"/>
      <c r="H2" s="156"/>
      <c r="I2" s="156"/>
      <c r="J2" s="156"/>
    </row>
    <row r="3" spans="1:10">
      <c r="A3" s="163" t="s">
        <v>413</v>
      </c>
      <c r="B3" s="163"/>
      <c r="C3" s="163"/>
      <c r="D3" s="163"/>
      <c r="E3" s="163"/>
      <c r="F3" s="163"/>
      <c r="G3" s="163"/>
      <c r="H3" s="163"/>
      <c r="I3" s="163"/>
      <c r="J3" s="163"/>
    </row>
    <row r="4" spans="1:10" ht="15" thickBot="1">
      <c r="A4" s="130"/>
      <c r="B4" s="130"/>
      <c r="C4" s="130"/>
      <c r="D4" s="130"/>
      <c r="E4" s="130"/>
      <c r="F4" s="130"/>
      <c r="G4" s="130"/>
      <c r="H4" s="130"/>
      <c r="I4" s="130"/>
      <c r="J4" s="130"/>
    </row>
    <row r="5" spans="1:10" ht="15" customHeight="1" thickBot="1">
      <c r="A5" s="157" t="s">
        <v>8</v>
      </c>
      <c r="B5" s="157" t="s">
        <v>9</v>
      </c>
      <c r="C5" s="157" t="s">
        <v>262</v>
      </c>
      <c r="D5" s="157" t="s">
        <v>263</v>
      </c>
      <c r="E5" s="157" t="s">
        <v>264</v>
      </c>
      <c r="F5" s="157" t="s">
        <v>265</v>
      </c>
      <c r="G5" s="157" t="s">
        <v>266</v>
      </c>
      <c r="H5" s="157" t="s">
        <v>267</v>
      </c>
      <c r="I5" s="157" t="s">
        <v>268</v>
      </c>
      <c r="J5" s="157" t="s">
        <v>269</v>
      </c>
    </row>
    <row r="6" spans="1:10" ht="15" customHeight="1">
      <c r="A6" s="164" t="s">
        <v>129</v>
      </c>
      <c r="B6" s="164"/>
      <c r="C6" s="164" t="s">
        <v>270</v>
      </c>
      <c r="D6" s="164" t="s">
        <v>270</v>
      </c>
      <c r="E6" s="164" t="s">
        <v>270</v>
      </c>
      <c r="F6" s="164" t="s">
        <v>271</v>
      </c>
      <c r="G6" s="164" t="s">
        <v>271</v>
      </c>
      <c r="H6" s="164" t="s">
        <v>271</v>
      </c>
      <c r="I6" s="164" t="s">
        <v>271</v>
      </c>
      <c r="J6" s="164" t="s">
        <v>271</v>
      </c>
    </row>
    <row r="7" spans="1:10" ht="15" customHeight="1">
      <c r="A7" s="130"/>
      <c r="B7" s="130"/>
      <c r="C7" s="130"/>
      <c r="D7" s="130"/>
      <c r="E7" s="130"/>
      <c r="F7" s="130"/>
      <c r="G7" s="130"/>
      <c r="H7" s="130"/>
      <c r="I7" s="130"/>
      <c r="J7" s="130"/>
    </row>
    <row r="8" spans="1:10" ht="15" customHeight="1" thickBot="1">
      <c r="A8" s="158" t="s">
        <v>375</v>
      </c>
      <c r="B8" s="158"/>
      <c r="C8" s="158"/>
      <c r="D8" s="158"/>
      <c r="E8" s="158"/>
      <c r="F8" s="158"/>
      <c r="G8" s="158"/>
      <c r="H8" s="158"/>
      <c r="I8" s="158"/>
      <c r="J8" s="158"/>
    </row>
    <row r="9" spans="1:10">
      <c r="A9" s="130" t="s">
        <v>273</v>
      </c>
      <c r="B9" s="130" t="s">
        <v>191</v>
      </c>
      <c r="C9" s="134">
        <f>'06_Operating_Model'!C9</f>
        <v>304</v>
      </c>
      <c r="D9" s="134">
        <f>'06_Operating_Model'!D9</f>
        <v>367</v>
      </c>
      <c r="E9" s="134">
        <f>'06_Operating_Model'!E9</f>
        <v>434</v>
      </c>
      <c r="F9" s="134">
        <f>'06_Operating_Model'!F9</f>
        <v>441</v>
      </c>
      <c r="G9" s="134">
        <f>'06_Operating_Model'!G9</f>
        <v>473</v>
      </c>
      <c r="H9" s="134">
        <f>'06_Operating_Model'!H9</f>
        <v>511</v>
      </c>
      <c r="I9" s="134">
        <f>'06_Operating_Model'!I9</f>
        <v>551</v>
      </c>
      <c r="J9" s="134">
        <f>'06_Operating_Model'!J9</f>
        <v>589</v>
      </c>
    </row>
    <row r="10" spans="1:10">
      <c r="A10" s="130" t="s">
        <v>274</v>
      </c>
      <c r="B10" s="130" t="s">
        <v>191</v>
      </c>
      <c r="C10" s="134"/>
      <c r="D10" s="134"/>
      <c r="E10" s="134">
        <v>72</v>
      </c>
      <c r="F10" s="134">
        <f>'06_Operating_Model'!F10</f>
        <v>42</v>
      </c>
      <c r="G10" s="134">
        <f>'06_Operating_Model'!G10</f>
        <v>46</v>
      </c>
      <c r="H10" s="134">
        <f>'06_Operating_Model'!H10</f>
        <v>48</v>
      </c>
      <c r="I10" s="134">
        <f>'06_Operating_Model'!I10</f>
        <v>48</v>
      </c>
      <c r="J10" s="134">
        <f>'06_Operating_Model'!J10</f>
        <v>45</v>
      </c>
    </row>
    <row r="11" spans="1:10" ht="32" customHeight="1">
      <c r="A11" s="130" t="s">
        <v>275</v>
      </c>
      <c r="B11" s="130" t="s">
        <v>191</v>
      </c>
      <c r="C11" s="134"/>
      <c r="D11" s="134"/>
      <c r="E11" s="134">
        <v>65</v>
      </c>
      <c r="F11" s="134">
        <f>'06_Operating_Model'!F11</f>
        <v>10</v>
      </c>
      <c r="G11" s="134">
        <f>'06_Operating_Model'!G11</f>
        <v>8</v>
      </c>
      <c r="H11" s="134">
        <f>'06_Operating_Model'!H11</f>
        <v>8</v>
      </c>
      <c r="I11" s="134">
        <f>'06_Operating_Model'!I11</f>
        <v>10</v>
      </c>
      <c r="J11" s="134">
        <f>'06_Operating_Model'!J11</f>
        <v>10</v>
      </c>
    </row>
    <row r="12" spans="1:10">
      <c r="A12" s="130" t="s">
        <v>192</v>
      </c>
      <c r="B12" s="130" t="s">
        <v>191</v>
      </c>
      <c r="C12" s="134">
        <f>'06_Operating_Model'!C12</f>
        <v>63</v>
      </c>
      <c r="D12" s="134">
        <f>'06_Operating_Model'!D12</f>
        <v>67</v>
      </c>
      <c r="E12" s="134">
        <f>'06_Operating_Model'!E12</f>
        <v>7</v>
      </c>
      <c r="F12" s="134">
        <f>F10-F11</f>
        <v>32</v>
      </c>
      <c r="G12" s="134">
        <f>G10-G11</f>
        <v>38</v>
      </c>
      <c r="H12" s="134">
        <f>H10-H11</f>
        <v>40</v>
      </c>
      <c r="I12" s="134">
        <f>I10-I11</f>
        <v>38</v>
      </c>
      <c r="J12" s="134">
        <f>J10-J11</f>
        <v>35</v>
      </c>
    </row>
    <row r="13" spans="1:10">
      <c r="A13" s="130" t="s">
        <v>276</v>
      </c>
      <c r="B13" s="130" t="s">
        <v>191</v>
      </c>
      <c r="C13" s="134">
        <f>'06_Operating_Model'!C13</f>
        <v>367</v>
      </c>
      <c r="D13" s="134">
        <f>'06_Operating_Model'!D13</f>
        <v>434</v>
      </c>
      <c r="E13" s="134">
        <f>'06_Operating_Model'!E13</f>
        <v>441</v>
      </c>
      <c r="F13" s="134">
        <f>'06_Operating_Model'!F13</f>
        <v>473</v>
      </c>
      <c r="G13" s="134">
        <f>'06_Operating_Model'!G13</f>
        <v>511</v>
      </c>
      <c r="H13" s="134">
        <f>'06_Operating_Model'!H13</f>
        <v>551</v>
      </c>
      <c r="I13" s="134">
        <f>'06_Operating_Model'!I13</f>
        <v>589</v>
      </c>
      <c r="J13" s="134">
        <f>'06_Operating_Model'!J13</f>
        <v>624</v>
      </c>
    </row>
    <row r="14" spans="1:10">
      <c r="A14" s="130" t="s">
        <v>208</v>
      </c>
      <c r="B14" s="130" t="s">
        <v>178</v>
      </c>
      <c r="C14" s="133">
        <f>'06_Operating_Model'!C14</f>
        <v>0.20723684210526305</v>
      </c>
      <c r="D14" s="133">
        <f>'06_Operating_Model'!D14</f>
        <v>0.18256130790190728</v>
      </c>
      <c r="E14" s="133">
        <f>'06_Operating_Model'!E14</f>
        <v>1.6129032258064502E-2</v>
      </c>
      <c r="F14" s="133">
        <f>'06_Operating_Model'!F14</f>
        <v>7.2562358276643923E-2</v>
      </c>
      <c r="G14" s="133">
        <f>'06_Operating_Model'!G14</f>
        <v>8.0338266384778034E-2</v>
      </c>
      <c r="H14" s="133">
        <f>'06_Operating_Model'!H14</f>
        <v>7.8277886497064575E-2</v>
      </c>
      <c r="I14" s="133">
        <f>'06_Operating_Model'!I14</f>
        <v>6.8965517241379226E-2</v>
      </c>
      <c r="J14" s="133">
        <f>'06_Operating_Model'!J14</f>
        <v>5.9422750424448223E-2</v>
      </c>
    </row>
    <row r="15" spans="1:10">
      <c r="A15" s="130" t="s">
        <v>376</v>
      </c>
      <c r="B15" s="130" t="s">
        <v>191</v>
      </c>
      <c r="C15" s="134">
        <f t="shared" ref="C15:J15" si="0">C13-C9-C12</f>
        <v>0</v>
      </c>
      <c r="D15" s="134">
        <f t="shared" si="0"/>
        <v>0</v>
      </c>
      <c r="E15" s="134">
        <f t="shared" si="0"/>
        <v>0</v>
      </c>
      <c r="F15" s="134">
        <f t="shared" si="0"/>
        <v>0</v>
      </c>
      <c r="G15" s="134">
        <f t="shared" si="0"/>
        <v>0</v>
      </c>
      <c r="H15" s="134">
        <f t="shared" si="0"/>
        <v>0</v>
      </c>
      <c r="I15" s="134">
        <f t="shared" si="0"/>
        <v>0</v>
      </c>
      <c r="J15" s="134">
        <f t="shared" si="0"/>
        <v>0</v>
      </c>
    </row>
    <row r="16" spans="1:10">
      <c r="A16" s="130"/>
      <c r="B16" s="130"/>
      <c r="C16" s="130"/>
      <c r="D16" s="130"/>
      <c r="E16" s="130"/>
      <c r="F16" s="130"/>
      <c r="G16" s="130"/>
      <c r="H16" s="130"/>
      <c r="I16" s="130"/>
      <c r="J16" s="130"/>
    </row>
    <row r="17" spans="1:10" ht="15" thickBot="1">
      <c r="A17" s="158" t="s">
        <v>377</v>
      </c>
      <c r="B17" s="158"/>
      <c r="C17" s="158"/>
      <c r="D17" s="158"/>
      <c r="E17" s="158"/>
      <c r="F17" s="158"/>
      <c r="G17" s="158"/>
      <c r="H17" s="158"/>
      <c r="I17" s="158"/>
      <c r="J17" s="158"/>
    </row>
    <row r="18" spans="1:10">
      <c r="A18" s="130" t="s">
        <v>378</v>
      </c>
      <c r="B18" s="130" t="s">
        <v>26</v>
      </c>
      <c r="C18" s="132">
        <f>'02_Raw_Financials'!J60+'02_Raw_Financials'!J68</f>
        <v>42601.876000000004</v>
      </c>
      <c r="D18" s="132">
        <f t="shared" ref="D18:J18" si="1">C20</f>
        <v>49388.313000000002</v>
      </c>
      <c r="E18" s="132">
        <f t="shared" si="1"/>
        <v>65009.8</v>
      </c>
      <c r="F18" s="132">
        <f t="shared" si="1"/>
        <v>75942.899999999994</v>
      </c>
      <c r="G18" s="132">
        <f t="shared" si="1"/>
        <v>75942.899999999994</v>
      </c>
      <c r="H18" s="132">
        <f t="shared" si="1"/>
        <v>74803.756499999989</v>
      </c>
      <c r="I18" s="132">
        <f t="shared" si="1"/>
        <v>73681.700152499994</v>
      </c>
      <c r="J18" s="132">
        <f t="shared" si="1"/>
        <v>73681.700152499994</v>
      </c>
    </row>
    <row r="19" spans="1:10">
      <c r="A19" s="130" t="s">
        <v>379</v>
      </c>
      <c r="B19" s="130" t="s">
        <v>178</v>
      </c>
      <c r="C19" s="133">
        <f>C20/C18-1</f>
        <v>0.15929901772400812</v>
      </c>
      <c r="D19" s="133">
        <f>D20/D18-1</f>
        <v>0.31629926294506161</v>
      </c>
      <c r="E19" s="133">
        <f>E20/E18-1</f>
        <v>0.16817618266784384</v>
      </c>
      <c r="F19" s="159">
        <v>0</v>
      </c>
      <c r="G19" s="159">
        <v>-1.4999999999999999E-2</v>
      </c>
      <c r="H19" s="159">
        <v>-1.4999999999999999E-2</v>
      </c>
      <c r="I19" s="159">
        <v>0</v>
      </c>
      <c r="J19" s="159">
        <v>0.01</v>
      </c>
    </row>
    <row r="20" spans="1:10">
      <c r="A20" s="136" t="s">
        <v>380</v>
      </c>
      <c r="B20" s="136" t="s">
        <v>26</v>
      </c>
      <c r="C20" s="137">
        <f>'02_Raw_Financials'!K60+'02_Raw_Financials'!K68</f>
        <v>49388.313000000002</v>
      </c>
      <c r="D20" s="137">
        <f>'02_Raw_Financials'!L60+'02_Raw_Financials'!L68</f>
        <v>65009.8</v>
      </c>
      <c r="E20" s="137">
        <f>'02_Raw_Financials'!M60+'02_Raw_Financials'!M68</f>
        <v>75942.899999999994</v>
      </c>
      <c r="F20" s="137">
        <f>E20*(1+F19)</f>
        <v>75942.899999999994</v>
      </c>
      <c r="G20" s="137">
        <f>F20*(1+G19)</f>
        <v>74803.756499999989</v>
      </c>
      <c r="H20" s="137">
        <f>G20*(1+H19)</f>
        <v>73681.700152499994</v>
      </c>
      <c r="I20" s="137">
        <f>H20*(1+I19)</f>
        <v>73681.700152499994</v>
      </c>
      <c r="J20" s="137">
        <f>I20*(1+J19)</f>
        <v>74418.517154025001</v>
      </c>
    </row>
    <row r="21" spans="1:10">
      <c r="A21" s="130" t="s">
        <v>381</v>
      </c>
      <c r="B21" s="130" t="s">
        <v>178</v>
      </c>
      <c r="C21" s="133">
        <f>C22/C20</f>
        <v>0.23335178506704612</v>
      </c>
      <c r="D21" s="133">
        <f>D22/D20</f>
        <v>0.15907601623139894</v>
      </c>
      <c r="E21" s="133">
        <f>E22/E20</f>
        <v>0.15106612994763172</v>
      </c>
      <c r="F21" s="159">
        <v>0.14000000000000001</v>
      </c>
      <c r="G21" s="159">
        <v>0.13</v>
      </c>
      <c r="H21" s="159">
        <v>0.12</v>
      </c>
      <c r="I21" s="159">
        <v>0.11</v>
      </c>
      <c r="J21" s="159">
        <v>0.1</v>
      </c>
    </row>
    <row r="22" spans="1:10">
      <c r="A22" s="130" t="s">
        <v>86</v>
      </c>
      <c r="B22" s="130" t="s">
        <v>26</v>
      </c>
      <c r="C22" s="132">
        <f>'02_Raw_Financials'!K68</f>
        <v>11524.851000000001</v>
      </c>
      <c r="D22" s="132">
        <f>'02_Raw_Financials'!L68</f>
        <v>10341.5</v>
      </c>
      <c r="E22" s="132">
        <f>'02_Raw_Financials'!M68</f>
        <v>11472.4</v>
      </c>
      <c r="F22" s="132">
        <f>F20*F21</f>
        <v>10632.005999999999</v>
      </c>
      <c r="G22" s="132">
        <f>G20*G21</f>
        <v>9724.4883449999998</v>
      </c>
      <c r="H22" s="132">
        <f>H20*H21</f>
        <v>8841.8040182999994</v>
      </c>
      <c r="I22" s="132">
        <f>I20*I21</f>
        <v>8104.9870167749996</v>
      </c>
      <c r="J22" s="132">
        <f>J20*J21</f>
        <v>7441.8517154025003</v>
      </c>
    </row>
    <row r="23" spans="1:10">
      <c r="A23" s="130" t="s">
        <v>78</v>
      </c>
      <c r="B23" s="130" t="s">
        <v>26</v>
      </c>
      <c r="C23" s="132">
        <f>'02_Raw_Financials'!K60</f>
        <v>37863.462</v>
      </c>
      <c r="D23" s="132">
        <f>'02_Raw_Financials'!L60</f>
        <v>54668.3</v>
      </c>
      <c r="E23" s="132">
        <f>'02_Raw_Financials'!M60</f>
        <v>64470.5</v>
      </c>
      <c r="F23" s="132">
        <f>F20-F22</f>
        <v>65310.893999999993</v>
      </c>
      <c r="G23" s="132">
        <f>G20-G22</f>
        <v>65079.268154999991</v>
      </c>
      <c r="H23" s="132">
        <f>H20-H22</f>
        <v>64839.896134199997</v>
      </c>
      <c r="I23" s="132">
        <f>I20-I22</f>
        <v>65576.713135724989</v>
      </c>
      <c r="J23" s="132">
        <f>J20-J22</f>
        <v>66976.665438622498</v>
      </c>
    </row>
    <row r="24" spans="1:10">
      <c r="A24" s="130" t="s">
        <v>382</v>
      </c>
      <c r="B24" s="130" t="s">
        <v>26</v>
      </c>
      <c r="C24" s="132">
        <f t="shared" ref="C24:J24" si="2">C20-C22-C23</f>
        <v>0</v>
      </c>
      <c r="D24" s="132">
        <f t="shared" si="2"/>
        <v>0</v>
      </c>
      <c r="E24" s="132">
        <f t="shared" si="2"/>
        <v>0</v>
      </c>
      <c r="F24" s="132">
        <f t="shared" si="2"/>
        <v>0</v>
      </c>
      <c r="G24" s="132">
        <f t="shared" si="2"/>
        <v>0</v>
      </c>
      <c r="H24" s="132">
        <f t="shared" si="2"/>
        <v>0</v>
      </c>
      <c r="I24" s="132">
        <f t="shared" si="2"/>
        <v>0</v>
      </c>
      <c r="J24" s="132">
        <f t="shared" si="2"/>
        <v>0</v>
      </c>
    </row>
    <row r="25" spans="1:10">
      <c r="A25" s="130" t="s">
        <v>383</v>
      </c>
      <c r="B25" s="130" t="s">
        <v>384</v>
      </c>
      <c r="C25" s="132">
        <f t="shared" ref="C25:J25" si="3">C20/C13</f>
        <v>134.5730599455041</v>
      </c>
      <c r="D25" s="132">
        <f t="shared" si="3"/>
        <v>149.79216589861753</v>
      </c>
      <c r="E25" s="132">
        <f t="shared" si="3"/>
        <v>172.20612244897958</v>
      </c>
      <c r="F25" s="132">
        <f t="shared" si="3"/>
        <v>160.55581395348835</v>
      </c>
      <c r="G25" s="132">
        <f t="shared" si="3"/>
        <v>146.38699902152641</v>
      </c>
      <c r="H25" s="132">
        <f t="shared" si="3"/>
        <v>133.72359374319419</v>
      </c>
      <c r="I25" s="132">
        <f t="shared" si="3"/>
        <v>125.09626511460101</v>
      </c>
      <c r="J25" s="132">
        <f t="shared" si="3"/>
        <v>119.26044415709134</v>
      </c>
    </row>
    <row r="26" spans="1:10">
      <c r="A26" s="130" t="s">
        <v>385</v>
      </c>
      <c r="B26" s="130" t="s">
        <v>232</v>
      </c>
      <c r="C26" s="135">
        <f t="shared" ref="C26:J26" si="4">C20/C32</f>
        <v>1.4440052700537049</v>
      </c>
      <c r="D26" s="135">
        <f t="shared" si="4"/>
        <v>1.3247326990518382</v>
      </c>
      <c r="E26" s="135">
        <f t="shared" si="4"/>
        <v>1.4589253467552925</v>
      </c>
      <c r="F26" s="135">
        <f t="shared" si="4"/>
        <v>1.4303189674071495</v>
      </c>
      <c r="G26" s="135">
        <f t="shared" si="4"/>
        <v>1.3949150325703388</v>
      </c>
      <c r="H26" s="135">
        <f t="shared" si="4"/>
        <v>1.3603874327542413</v>
      </c>
      <c r="I26" s="135">
        <f t="shared" si="4"/>
        <v>1.3337131693669033</v>
      </c>
      <c r="J26" s="135">
        <f t="shared" si="4"/>
        <v>1.3206375500593848</v>
      </c>
    </row>
    <row r="27" spans="1:10">
      <c r="A27" s="130" t="s">
        <v>386</v>
      </c>
      <c r="B27" s="130" t="s">
        <v>232</v>
      </c>
      <c r="C27" s="135">
        <f>C20/'06_Operating_Model'!C73</f>
        <v>2.6168583465637818</v>
      </c>
      <c r="D27" s="135">
        <f>D20/'06_Operating_Model'!D73</f>
        <v>2.7970708326700255</v>
      </c>
      <c r="E27" s="135">
        <f>E20/'06_Operating_Model'!E73</f>
        <v>4.8943002977456391</v>
      </c>
      <c r="F27" s="135">
        <f>F20/'06_Operating_Model'!F73</f>
        <v>4.295839447365041</v>
      </c>
      <c r="G27" s="135">
        <f>G20/'06_Operating_Model'!G73</f>
        <v>3.494050945153055</v>
      </c>
      <c r="H27" s="135">
        <f>H20/'06_Operating_Model'!H73</f>
        <v>2.9972368315293925</v>
      </c>
      <c r="I27" s="135">
        <f>I20/'06_Operating_Model'!I73</f>
        <v>2.6834067181187513</v>
      </c>
      <c r="J27" s="135">
        <f>J20/'06_Operating_Model'!J73</f>
        <v>2.4916203111213138</v>
      </c>
    </row>
    <row r="28" spans="1:10">
      <c r="A28" s="130"/>
      <c r="B28" s="130"/>
      <c r="C28" s="130"/>
      <c r="D28" s="130"/>
      <c r="E28" s="130"/>
      <c r="F28" s="130"/>
      <c r="G28" s="130"/>
      <c r="H28" s="130"/>
      <c r="I28" s="130"/>
      <c r="J28" s="130"/>
    </row>
    <row r="29" spans="1:10" ht="15" thickBot="1">
      <c r="A29" s="158" t="s">
        <v>387</v>
      </c>
      <c r="B29" s="158"/>
      <c r="C29" s="158"/>
      <c r="D29" s="158"/>
      <c r="E29" s="158"/>
      <c r="F29" s="158"/>
      <c r="G29" s="158"/>
      <c r="H29" s="158"/>
      <c r="I29" s="158"/>
      <c r="J29" s="158"/>
    </row>
    <row r="30" spans="1:10">
      <c r="A30" s="130" t="s">
        <v>388</v>
      </c>
      <c r="B30" s="130" t="s">
        <v>26</v>
      </c>
      <c r="C30" s="132">
        <f>'02_Raw_Financials'!J34</f>
        <v>26536.495000000003</v>
      </c>
      <c r="D30" s="132">
        <f t="shared" ref="D30:J30" si="5">C32</f>
        <v>34202.308000000005</v>
      </c>
      <c r="E30" s="132">
        <f t="shared" si="5"/>
        <v>49073.9</v>
      </c>
      <c r="F30" s="132">
        <f t="shared" si="5"/>
        <v>52054</v>
      </c>
      <c r="G30" s="132">
        <f t="shared" si="5"/>
        <v>53095.08</v>
      </c>
      <c r="H30" s="132">
        <f t="shared" si="5"/>
        <v>53626.0308</v>
      </c>
      <c r="I30" s="132">
        <f t="shared" si="5"/>
        <v>54162.291107999998</v>
      </c>
      <c r="J30" s="132">
        <f t="shared" si="5"/>
        <v>55245.53693016</v>
      </c>
    </row>
    <row r="31" spans="1:10">
      <c r="A31" s="130" t="s">
        <v>389</v>
      </c>
      <c r="B31" s="130" t="s">
        <v>178</v>
      </c>
      <c r="C31" s="133">
        <f>C32/C30-1</f>
        <v>0.28887812802708135</v>
      </c>
      <c r="D31" s="133">
        <f>D32/D30-1</f>
        <v>0.43481252785630709</v>
      </c>
      <c r="E31" s="133">
        <f>E32/E30-1</f>
        <v>6.0726781445941791E-2</v>
      </c>
      <c r="F31" s="133">
        <v>0.02</v>
      </c>
      <c r="G31" s="133">
        <v>0.01</v>
      </c>
      <c r="H31" s="133">
        <v>0.01</v>
      </c>
      <c r="I31" s="133">
        <v>0.02</v>
      </c>
      <c r="J31" s="133">
        <v>0.02</v>
      </c>
    </row>
    <row r="32" spans="1:10">
      <c r="A32" s="130" t="s">
        <v>390</v>
      </c>
      <c r="B32" s="130" t="s">
        <v>26</v>
      </c>
      <c r="C32" s="132">
        <f>'02_Raw_Financials'!K34</f>
        <v>34202.308000000005</v>
      </c>
      <c r="D32" s="132">
        <f>'02_Raw_Financials'!L34</f>
        <v>49073.9</v>
      </c>
      <c r="E32" s="132">
        <f>'02_Raw_Financials'!M34</f>
        <v>52054</v>
      </c>
      <c r="F32" s="132">
        <f>E32*(1+F31)</f>
        <v>53095.08</v>
      </c>
      <c r="G32" s="132">
        <f>F32*(1+G31)</f>
        <v>53626.0308</v>
      </c>
      <c r="H32" s="132">
        <f>G32*(1+H31)</f>
        <v>54162.291107999998</v>
      </c>
      <c r="I32" s="132">
        <f>H32*(1+I31)</f>
        <v>55245.53693016</v>
      </c>
      <c r="J32" s="132">
        <f>I32*(1+J31)</f>
        <v>56350.447668763198</v>
      </c>
    </row>
    <row r="33" spans="1:10">
      <c r="A33" s="130" t="s">
        <v>51</v>
      </c>
      <c r="B33" s="130" t="s">
        <v>26</v>
      </c>
      <c r="C33" s="132">
        <f>'02_Raw_Financials'!K33</f>
        <v>1902.912</v>
      </c>
      <c r="D33" s="132">
        <f>'02_Raw_Financials'!L33</f>
        <v>2677.9</v>
      </c>
      <c r="E33" s="132">
        <f>'02_Raw_Financials'!M33</f>
        <v>11087.1</v>
      </c>
      <c r="F33" s="132">
        <f>E33*(1+F34)</f>
        <v>13082.778</v>
      </c>
      <c r="G33" s="132">
        <f>F33*(1+G34)</f>
        <v>15045.1947</v>
      </c>
      <c r="H33" s="132">
        <f>G33*(1+H34)</f>
        <v>16850.618064000002</v>
      </c>
      <c r="I33" s="132">
        <f>H33*(1+I34)</f>
        <v>18535.679870400003</v>
      </c>
      <c r="J33" s="132">
        <f>I33*(1+J34)</f>
        <v>20018.534260032004</v>
      </c>
    </row>
    <row r="34" spans="1:10">
      <c r="A34" s="130" t="s">
        <v>391</v>
      </c>
      <c r="B34" s="130" t="s">
        <v>178</v>
      </c>
      <c r="C34" s="133">
        <f>C33/'02_Raw_Financials'!J33-1</f>
        <v>0.71253157710483261</v>
      </c>
      <c r="D34" s="133">
        <f>D33/C33-1</f>
        <v>0.40726423502505638</v>
      </c>
      <c r="E34" s="133">
        <f>E33/D33-1</f>
        <v>3.1402218156017776</v>
      </c>
      <c r="F34" s="159">
        <v>0.18</v>
      </c>
      <c r="G34" s="159">
        <v>0.15</v>
      </c>
      <c r="H34" s="159">
        <v>0.12</v>
      </c>
      <c r="I34" s="159">
        <v>0.1</v>
      </c>
      <c r="J34" s="159">
        <v>0.08</v>
      </c>
    </row>
    <row r="35" spans="1:10">
      <c r="A35" s="130" t="s">
        <v>392</v>
      </c>
      <c r="B35" s="130" t="s">
        <v>26</v>
      </c>
      <c r="C35" s="132">
        <f t="shared" ref="C35:J35" si="6">SUM(C32:C33)</f>
        <v>36105.22</v>
      </c>
      <c r="D35" s="132">
        <f t="shared" si="6"/>
        <v>51751.8</v>
      </c>
      <c r="E35" s="132">
        <f t="shared" si="6"/>
        <v>63141.1</v>
      </c>
      <c r="F35" s="132">
        <f t="shared" si="6"/>
        <v>66177.858000000007</v>
      </c>
      <c r="G35" s="132">
        <f t="shared" si="6"/>
        <v>68671.2255</v>
      </c>
      <c r="H35" s="132">
        <f t="shared" si="6"/>
        <v>71012.909172</v>
      </c>
      <c r="I35" s="132">
        <f t="shared" si="6"/>
        <v>73781.216800560011</v>
      </c>
      <c r="J35" s="132">
        <f t="shared" si="6"/>
        <v>76368.981928795198</v>
      </c>
    </row>
    <row r="36" spans="1:10">
      <c r="A36" s="130" t="s">
        <v>38</v>
      </c>
      <c r="B36" s="130" t="s">
        <v>26</v>
      </c>
      <c r="C36" s="132">
        <f>'06_Operating_Model'!C67</f>
        <v>6425.7290000000003</v>
      </c>
      <c r="D36" s="132">
        <f>'06_Operating_Model'!D67</f>
        <v>8680.2000000000007</v>
      </c>
      <c r="E36" s="132">
        <f>'06_Operating_Model'!E67</f>
        <v>10808.2</v>
      </c>
      <c r="F36" s="132">
        <f>'06_Operating_Model'!F67</f>
        <v>11515.735652571429</v>
      </c>
      <c r="G36" s="132">
        <f>'06_Operating_Model'!G67</f>
        <v>12961.159545484801</v>
      </c>
      <c r="H36" s="132">
        <f>'06_Operating_Model'!H67</f>
        <v>14624.348973709721</v>
      </c>
      <c r="I36" s="132">
        <f>'06_Operating_Model'!I67</f>
        <v>16292.051481146002</v>
      </c>
      <c r="J36" s="132">
        <f>'06_Operating_Model'!J67</f>
        <v>17990.806003634472</v>
      </c>
    </row>
    <row r="37" spans="1:10">
      <c r="A37" s="130" t="s">
        <v>393</v>
      </c>
      <c r="B37" s="130" t="s">
        <v>178</v>
      </c>
      <c r="C37" s="133">
        <f t="shared" ref="C37:J37" si="7">C36/C35</f>
        <v>0.17797229874239792</v>
      </c>
      <c r="D37" s="133">
        <f t="shared" si="7"/>
        <v>0.16772749933335654</v>
      </c>
      <c r="E37" s="133">
        <f t="shared" si="7"/>
        <v>0.17117535171227616</v>
      </c>
      <c r="F37" s="133">
        <f t="shared" si="7"/>
        <v>0.17401191275443562</v>
      </c>
      <c r="G37" s="133">
        <f t="shared" si="7"/>
        <v>0.18874221991982365</v>
      </c>
      <c r="H37" s="133">
        <f t="shared" si="7"/>
        <v>0.20593930236385838</v>
      </c>
      <c r="I37" s="133">
        <f t="shared" si="7"/>
        <v>0.22081570605138545</v>
      </c>
      <c r="J37" s="133">
        <f t="shared" si="7"/>
        <v>0.23557739738377964</v>
      </c>
    </row>
    <row r="38" spans="1:10">
      <c r="A38" s="130" t="s">
        <v>407</v>
      </c>
      <c r="B38" s="130" t="s">
        <v>178</v>
      </c>
      <c r="C38" s="133">
        <f t="shared" ref="C38:J38" si="8">C31-C14</f>
        <v>8.1641285921818296E-2</v>
      </c>
      <c r="D38" s="133">
        <f t="shared" si="8"/>
        <v>0.25225121995439981</v>
      </c>
      <c r="E38" s="133">
        <f t="shared" si="8"/>
        <v>4.4597749187877289E-2</v>
      </c>
      <c r="F38" s="133">
        <f t="shared" si="8"/>
        <v>-5.256235827664392E-2</v>
      </c>
      <c r="G38" s="133">
        <f t="shared" si="8"/>
        <v>-7.0338266384778039E-2</v>
      </c>
      <c r="H38" s="133">
        <f t="shared" si="8"/>
        <v>-6.827788649706458E-2</v>
      </c>
      <c r="I38" s="133">
        <f t="shared" si="8"/>
        <v>-4.8965517241379222E-2</v>
      </c>
      <c r="J38" s="133">
        <f t="shared" si="8"/>
        <v>-3.9422750424448219E-2</v>
      </c>
    </row>
    <row r="39" spans="1:10">
      <c r="A39" s="130"/>
      <c r="B39" s="130"/>
      <c r="C39" s="130"/>
      <c r="D39" s="130"/>
      <c r="E39" s="130"/>
      <c r="F39" s="130"/>
      <c r="G39" s="130"/>
      <c r="H39" s="130"/>
      <c r="I39" s="130"/>
      <c r="J39" s="130"/>
    </row>
    <row r="40" spans="1:10">
      <c r="A40" s="130" t="s">
        <v>394</v>
      </c>
      <c r="B40" s="130" t="s">
        <v>191</v>
      </c>
      <c r="C40" s="134"/>
      <c r="D40" s="134"/>
      <c r="E40" s="134">
        <v>36</v>
      </c>
      <c r="F40" s="130"/>
      <c r="G40" s="130"/>
      <c r="H40" s="130"/>
      <c r="I40" s="130"/>
      <c r="J40" s="130"/>
    </row>
    <row r="41" spans="1:10">
      <c r="A41" s="130" t="s">
        <v>395</v>
      </c>
      <c r="B41" s="130" t="s">
        <v>191</v>
      </c>
      <c r="C41" s="130"/>
      <c r="D41" s="130"/>
      <c r="E41" s="130"/>
      <c r="F41" s="160">
        <v>10</v>
      </c>
      <c r="G41" s="160">
        <v>10</v>
      </c>
      <c r="H41" s="160">
        <v>12</v>
      </c>
      <c r="I41" s="160">
        <v>12</v>
      </c>
      <c r="J41" s="160">
        <v>12</v>
      </c>
    </row>
    <row r="42" spans="1:10">
      <c r="A42" s="130" t="s">
        <v>396</v>
      </c>
      <c r="B42" s="130" t="s">
        <v>191</v>
      </c>
      <c r="C42" s="138"/>
      <c r="D42" s="138"/>
      <c r="E42" s="138">
        <f>E40</f>
        <v>36</v>
      </c>
      <c r="F42" s="138">
        <f>E42+F41</f>
        <v>46</v>
      </c>
      <c r="G42" s="138">
        <f>F42+G41</f>
        <v>56</v>
      </c>
      <c r="H42" s="138">
        <f>G42+H41</f>
        <v>68</v>
      </c>
      <c r="I42" s="138">
        <f>H42+I41</f>
        <v>80</v>
      </c>
      <c r="J42" s="138">
        <f>I42+J41</f>
        <v>92</v>
      </c>
    </row>
    <row r="43" spans="1:10">
      <c r="A43" s="130" t="s">
        <v>397</v>
      </c>
      <c r="B43" s="130" t="s">
        <v>178</v>
      </c>
      <c r="C43" s="133"/>
      <c r="D43" s="133"/>
      <c r="E43" s="133">
        <f t="shared" ref="E43:J43" si="9">E42/E13</f>
        <v>8.1632653061224483E-2</v>
      </c>
      <c r="F43" s="133">
        <f t="shared" si="9"/>
        <v>9.7251585623678652E-2</v>
      </c>
      <c r="G43" s="133">
        <f t="shared" si="9"/>
        <v>0.1095890410958904</v>
      </c>
      <c r="H43" s="133">
        <f t="shared" si="9"/>
        <v>0.12341197822141561</v>
      </c>
      <c r="I43" s="133">
        <f t="shared" si="9"/>
        <v>0.13582342954159593</v>
      </c>
      <c r="J43" s="133">
        <f t="shared" si="9"/>
        <v>0.14743589743589744</v>
      </c>
    </row>
    <row r="44" spans="1:10">
      <c r="A44" s="130" t="s">
        <v>408</v>
      </c>
      <c r="B44" s="130" t="s">
        <v>191</v>
      </c>
      <c r="C44" s="134"/>
      <c r="D44" s="134"/>
      <c r="E44" s="134">
        <v>53</v>
      </c>
      <c r="F44" s="134"/>
      <c r="G44" s="134"/>
      <c r="H44" s="134"/>
      <c r="I44" s="134"/>
      <c r="J44" s="134"/>
    </row>
    <row r="45" spans="1:10" ht="15" thickBot="1">
      <c r="A45" s="130" t="s">
        <v>398</v>
      </c>
      <c r="B45" s="130" t="s">
        <v>191</v>
      </c>
      <c r="C45" s="140"/>
      <c r="D45" s="140"/>
      <c r="E45" s="140">
        <f>E40+E44</f>
        <v>89</v>
      </c>
      <c r="F45" s="140"/>
      <c r="G45" s="140"/>
      <c r="H45" s="140"/>
      <c r="I45" s="140"/>
      <c r="J45" s="140"/>
    </row>
    <row r="46" spans="1:10">
      <c r="A46" s="130" t="s">
        <v>399</v>
      </c>
      <c r="B46" s="130" t="s">
        <v>178</v>
      </c>
      <c r="C46" s="133"/>
      <c r="D46" s="133"/>
      <c r="E46" s="133">
        <f>E45/E13</f>
        <v>0.20181405895691609</v>
      </c>
      <c r="F46" s="133"/>
      <c r="G46" s="133"/>
      <c r="H46" s="133"/>
      <c r="I46" s="133"/>
      <c r="J46" s="133"/>
    </row>
    <row r="47" spans="1:10">
      <c r="A47" s="130" t="s">
        <v>30</v>
      </c>
      <c r="B47" s="130" t="s">
        <v>26</v>
      </c>
      <c r="C47" s="132">
        <f>'06_Operating_Model'!C72</f>
        <v>1075.1950000000002</v>
      </c>
      <c r="D47" s="132">
        <f>'06_Operating_Model'!D72</f>
        <v>3010.3</v>
      </c>
      <c r="E47" s="132">
        <f>'06_Operating_Model'!E72</f>
        <v>2084.6999999999998</v>
      </c>
      <c r="F47" s="132">
        <f>'06_Operating_Model'!F72</f>
        <v>2068.737154285714</v>
      </c>
      <c r="G47" s="132">
        <f>'06_Operating_Model'!G72</f>
        <v>2147.5528711199995</v>
      </c>
      <c r="H47" s="132">
        <f>'06_Operating_Model'!H72</f>
        <v>2234.9248811464045</v>
      </c>
      <c r="I47" s="132">
        <f>'06_Operating_Model'!I72</f>
        <v>2307.6072898870761</v>
      </c>
      <c r="J47" s="132">
        <f>'06_Operating_Model'!J72</f>
        <v>2361.7639484716137</v>
      </c>
    </row>
    <row r="48" spans="1:10">
      <c r="A48" s="130" t="s">
        <v>299</v>
      </c>
      <c r="B48" s="130" t="s">
        <v>185</v>
      </c>
      <c r="C48" s="161">
        <f>'06_Operating_Model'!C70</f>
        <v>7.7185570710696344E-2</v>
      </c>
      <c r="D48" s="161">
        <f>'06_Operating_Model'!D70</f>
        <v>0.19113015873015876</v>
      </c>
      <c r="E48" s="161">
        <f>'06_Operating_Model'!E70</f>
        <v>0.12092227378190254</v>
      </c>
      <c r="F48" s="161">
        <f>'06_Operating_Model'!F70</f>
        <v>0.11487616009280741</v>
      </c>
      <c r="G48" s="161">
        <f>'06_Operating_Model'!G70</f>
        <v>0.10913235208816703</v>
      </c>
      <c r="H48" s="161">
        <f>'06_Operating_Model'!H70</f>
        <v>0.10367573448375868</v>
      </c>
      <c r="I48" s="161">
        <f>'06_Operating_Model'!I70</f>
        <v>9.8491947759570736E-2</v>
      </c>
      <c r="J48" s="161">
        <f>'06_Operating_Model'!J70</f>
        <v>9.3567350371592195E-2</v>
      </c>
    </row>
    <row r="49" spans="1:10">
      <c r="A49" s="130"/>
      <c r="B49" s="130"/>
      <c r="C49" s="130"/>
      <c r="D49" s="130"/>
      <c r="E49" s="130"/>
      <c r="F49" s="130"/>
      <c r="G49" s="130"/>
      <c r="H49" s="130"/>
      <c r="I49" s="130"/>
      <c r="J49" s="130"/>
    </row>
    <row r="50" spans="1:10" ht="15" thickBot="1">
      <c r="A50" s="158" t="s">
        <v>400</v>
      </c>
      <c r="B50" s="158"/>
      <c r="C50" s="158"/>
      <c r="D50" s="158"/>
      <c r="E50" s="158"/>
      <c r="F50" s="158"/>
      <c r="G50" s="158"/>
      <c r="H50" s="158"/>
      <c r="I50" s="158"/>
      <c r="J50" s="158"/>
    </row>
    <row r="51" spans="1:10">
      <c r="A51" s="130" t="s">
        <v>401</v>
      </c>
      <c r="B51" s="130" t="s">
        <v>402</v>
      </c>
      <c r="C51" s="130" t="s">
        <v>412</v>
      </c>
      <c r="D51" s="130"/>
      <c r="E51" s="130"/>
      <c r="F51" s="130"/>
      <c r="G51" s="130"/>
      <c r="H51" s="130"/>
      <c r="I51" s="130"/>
      <c r="J51" s="130"/>
    </row>
    <row r="52" spans="1:10">
      <c r="A52" s="130" t="s">
        <v>403</v>
      </c>
      <c r="B52" s="130" t="s">
        <v>404</v>
      </c>
      <c r="C52" s="130" t="s">
        <v>409</v>
      </c>
      <c r="D52" s="130"/>
      <c r="E52" s="130"/>
      <c r="F52" s="130"/>
      <c r="G52" s="130"/>
      <c r="H52" s="130"/>
      <c r="I52" s="130"/>
      <c r="J52" s="130"/>
    </row>
    <row r="53" spans="1:10">
      <c r="A53" s="130" t="s">
        <v>405</v>
      </c>
      <c r="B53" s="130" t="s">
        <v>404</v>
      </c>
      <c r="C53" s="130" t="s">
        <v>410</v>
      </c>
      <c r="D53" s="130"/>
      <c r="E53" s="130"/>
      <c r="F53" s="130"/>
      <c r="G53" s="130"/>
      <c r="H53" s="130"/>
      <c r="I53" s="130"/>
      <c r="J53" s="130"/>
    </row>
    <row r="54" spans="1:10">
      <c r="A54" s="130" t="s">
        <v>371</v>
      </c>
      <c r="B54" s="130" t="s">
        <v>406</v>
      </c>
      <c r="C54" s="130" t="s">
        <v>411</v>
      </c>
      <c r="D54" s="130"/>
      <c r="E54" s="130"/>
      <c r="F54" s="130"/>
      <c r="G54" s="130"/>
      <c r="H54" s="130"/>
      <c r="I54" s="130"/>
      <c r="J54" s="130"/>
    </row>
    <row r="55" spans="1:10">
      <c r="A55" s="130"/>
      <c r="B55" s="130"/>
      <c r="C55" s="130"/>
      <c r="D55" s="130"/>
      <c r="E55" s="130"/>
      <c r="F55" s="130"/>
      <c r="G55" s="130"/>
      <c r="H55" s="130"/>
      <c r="I55" s="130"/>
      <c r="J55" s="130"/>
    </row>
    <row r="56" spans="1:10" ht="15" thickBot="1">
      <c r="A56" s="158"/>
      <c r="B56" s="158"/>
      <c r="C56" s="158"/>
      <c r="D56" s="158"/>
      <c r="E56" s="158"/>
      <c r="F56" s="158"/>
      <c r="G56" s="158"/>
      <c r="H56" s="158"/>
      <c r="I56" s="158"/>
      <c r="J56" s="158"/>
    </row>
    <row r="57" spans="1:10">
      <c r="A57" s="130"/>
      <c r="B57" s="130"/>
      <c r="C57" s="165"/>
      <c r="D57" s="165"/>
      <c r="E57" s="165"/>
      <c r="F57" s="165"/>
      <c r="G57" s="165"/>
      <c r="H57" s="165"/>
      <c r="I57" s="165"/>
      <c r="J57" s="165"/>
    </row>
    <row r="58" spans="1:10">
      <c r="A58" s="130"/>
      <c r="B58" s="130"/>
      <c r="C58" s="166"/>
      <c r="D58" s="166"/>
      <c r="E58" s="166"/>
      <c r="F58" s="166"/>
      <c r="G58" s="166"/>
      <c r="H58" s="166"/>
      <c r="I58" s="166"/>
      <c r="J58" s="166"/>
    </row>
    <row r="59" spans="1:10">
      <c r="A59" s="130"/>
      <c r="B59" s="130"/>
      <c r="C59" s="166"/>
      <c r="D59" s="166"/>
      <c r="E59" s="166"/>
      <c r="F59" s="166"/>
      <c r="G59" s="166"/>
      <c r="H59" s="166"/>
      <c r="I59" s="166"/>
      <c r="J59" s="166"/>
    </row>
    <row r="60" spans="1:10">
      <c r="A60" s="130"/>
      <c r="B60" s="130"/>
      <c r="C60" s="130"/>
      <c r="D60" s="130"/>
      <c r="E60" s="130"/>
      <c r="F60" s="130"/>
      <c r="G60" s="130"/>
      <c r="H60" s="130"/>
      <c r="I60" s="130"/>
      <c r="J60" s="130"/>
    </row>
    <row r="61" spans="1:10">
      <c r="A61" s="130"/>
      <c r="B61" s="130"/>
      <c r="C61" s="130"/>
      <c r="D61" s="130"/>
      <c r="E61" s="130"/>
      <c r="F61" s="130"/>
      <c r="G61" s="130"/>
      <c r="H61" s="130"/>
      <c r="I61" s="130"/>
      <c r="J61" s="130"/>
    </row>
    <row r="62" spans="1:10" ht="15" thickBot="1">
      <c r="A62" s="169" t="s">
        <v>414</v>
      </c>
      <c r="B62" s="169"/>
      <c r="C62" s="169"/>
      <c r="D62" s="169"/>
      <c r="E62" s="169"/>
      <c r="F62" s="169"/>
      <c r="G62" s="169"/>
      <c r="H62" s="169"/>
      <c r="I62" s="169"/>
      <c r="J62" s="169"/>
    </row>
    <row r="63" spans="1:10">
      <c r="A63" s="130" t="s">
        <v>285</v>
      </c>
      <c r="B63" s="130" t="s">
        <v>26</v>
      </c>
      <c r="C63" s="176">
        <f>'07_Income_Statement'!C11</f>
        <v>68904.342000000004</v>
      </c>
      <c r="D63" s="176">
        <f>'07_Income_Statement'!D11</f>
        <v>80802.899999999994</v>
      </c>
      <c r="E63" s="176">
        <f>'07_Income_Statement'!E11</f>
        <v>84961.9</v>
      </c>
      <c r="F63" s="176">
        <f>'07_Income_Statement'!F11</f>
        <v>95930.314459934423</v>
      </c>
      <c r="G63" s="176">
        <f>'07_Income_Statement'!G11</f>
        <v>109058.1401678721</v>
      </c>
      <c r="H63" s="176">
        <f>'07_Income_Statement'!H11</f>
        <v>123688.14558982404</v>
      </c>
      <c r="I63" s="176">
        <f>'07_Income_Statement'!I11</f>
        <v>138587.83646127934</v>
      </c>
      <c r="J63" s="176">
        <f>'07_Income_Statement'!J11</f>
        <v>153031.24673536548</v>
      </c>
    </row>
    <row r="64" spans="1:10">
      <c r="A64" s="130" t="s">
        <v>415</v>
      </c>
      <c r="B64" s="130" t="s">
        <v>26</v>
      </c>
      <c r="C64" s="172">
        <f>SUM('02_Raw_Financials'!K45,'02_Raw_Financials'!K47,'02_Raw_Financials'!K51,'02_Raw_Financials'!K52)-SUM('02_Raw_Financials'!K69:'02_Raw_Financials'!K72,'02_Raw_Financials'!K74:'02_Raw_Financials'!K75)</f>
        <v>-13817.297000000002</v>
      </c>
      <c r="D64" s="172">
        <f>SUM('02_Raw_Financials'!L45,'02_Raw_Financials'!L47,'02_Raw_Financials'!L51,'02_Raw_Financials'!L52)-SUM('02_Raw_Financials'!L69:'02_Raw_Financials'!L72,'02_Raw_Financials'!L74:'02_Raw_Financials'!L75)</f>
        <v>-15107.800000000001</v>
      </c>
      <c r="E64" s="172">
        <f>SUM('02_Raw_Financials'!M45,'02_Raw_Financials'!M47,'02_Raw_Financials'!M51,'02_Raw_Financials'!M52)-SUM('02_Raw_Financials'!M69:'02_Raw_Financials'!M72,'02_Raw_Financials'!M74:'02_Raw_Financials'!M75)</f>
        <v>-16801.900000000001</v>
      </c>
      <c r="F64" s="172">
        <f>F63*F65</f>
        <v>-18706.411319687213</v>
      </c>
      <c r="G64" s="172">
        <f>G63*G65</f>
        <v>-21048.221052399316</v>
      </c>
      <c r="H64" s="172">
        <f>H63*H65</f>
        <v>-23624.435807656391</v>
      </c>
      <c r="I64" s="172">
        <f>I63*I65</f>
        <v>-26331.688927643074</v>
      </c>
      <c r="J64" s="172">
        <f>J63*J65</f>
        <v>-29075.93687971944</v>
      </c>
    </row>
    <row r="65" spans="1:10">
      <c r="A65" s="130" t="s">
        <v>416</v>
      </c>
      <c r="B65" s="130" t="s">
        <v>178</v>
      </c>
      <c r="C65" s="167">
        <f>C64/C63</f>
        <v>-0.2005286836640861</v>
      </c>
      <c r="D65" s="167">
        <f>D64/D63</f>
        <v>-0.18697101217901835</v>
      </c>
      <c r="E65" s="167">
        <f>E64/E63</f>
        <v>-0.19775805390416179</v>
      </c>
      <c r="F65" s="175">
        <v>-0.19500000000000001</v>
      </c>
      <c r="G65" s="175">
        <v>-0.193</v>
      </c>
      <c r="H65" s="175">
        <v>-0.191</v>
      </c>
      <c r="I65" s="175">
        <v>-0.19</v>
      </c>
      <c r="J65" s="175">
        <v>-0.19</v>
      </c>
    </row>
    <row r="66" spans="1:10">
      <c r="A66" s="130" t="s">
        <v>417</v>
      </c>
      <c r="B66" s="130" t="s">
        <v>26</v>
      </c>
      <c r="C66" s="172">
        <f>C64-(SUM('02_Raw_Financials'!J45,'02_Raw_Financials'!J47,'02_Raw_Financials'!J51,'02_Raw_Financials'!J52)-SUM('02_Raw_Financials'!J69:'02_Raw_Financials'!J72,'02_Raw_Financials'!J74:'02_Raw_Financials'!J75))</f>
        <v>-5349.8310000000019</v>
      </c>
      <c r="D66" s="172">
        <f>D64-C64</f>
        <v>-1290.5029999999988</v>
      </c>
      <c r="E66" s="172">
        <f>E64-D64</f>
        <v>-1694.1000000000004</v>
      </c>
      <c r="F66" s="172">
        <f>F64-E64</f>
        <v>-1904.5113196872117</v>
      </c>
      <c r="G66" s="172">
        <f>G64-F64</f>
        <v>-2341.8097327121031</v>
      </c>
      <c r="H66" s="172">
        <f>H64-G64</f>
        <v>-2576.214755257075</v>
      </c>
      <c r="I66" s="172">
        <f>I64-H64</f>
        <v>-2707.2531199866826</v>
      </c>
      <c r="J66" s="172">
        <f>J64-I64</f>
        <v>-2744.2479520763663</v>
      </c>
    </row>
    <row r="67" spans="1:10">
      <c r="A67" s="130" t="s">
        <v>418</v>
      </c>
      <c r="B67" s="130" t="s">
        <v>26</v>
      </c>
      <c r="C67" s="172">
        <f>-'02_Raw_Financials'!K92</f>
        <v>1102.645</v>
      </c>
      <c r="D67" s="172">
        <f>-'02_Raw_Financials'!L92</f>
        <v>1604.8</v>
      </c>
      <c r="E67" s="172">
        <f>-'02_Raw_Financials'!M92</f>
        <v>2271.8000000000002</v>
      </c>
      <c r="F67" s="172">
        <f>F63*F68</f>
        <v>3357.5610060977051</v>
      </c>
      <c r="G67" s="172">
        <f>G63*G68</f>
        <v>4362.3256067148841</v>
      </c>
      <c r="H67" s="172">
        <f>H63*H68</f>
        <v>4947.5258235929614</v>
      </c>
      <c r="I67" s="172">
        <f>I63*I68</f>
        <v>4850.5742761447773</v>
      </c>
      <c r="J67" s="172">
        <f>J63*J68</f>
        <v>5356.0936357377923</v>
      </c>
    </row>
    <row r="68" spans="1:10">
      <c r="A68" s="130" t="s">
        <v>419</v>
      </c>
      <c r="B68" s="130" t="s">
        <v>178</v>
      </c>
      <c r="C68" s="167">
        <f>C67/C63</f>
        <v>1.6002547415662136E-2</v>
      </c>
      <c r="D68" s="167">
        <f>D67/D63</f>
        <v>1.9860673317418063E-2</v>
      </c>
      <c r="E68" s="167">
        <f>E67/E63</f>
        <v>2.6739044206873907E-2</v>
      </c>
      <c r="F68" s="175">
        <v>3.5000000000000003E-2</v>
      </c>
      <c r="G68" s="175">
        <v>0.04</v>
      </c>
      <c r="H68" s="175">
        <v>0.04</v>
      </c>
      <c r="I68" s="175">
        <v>3.5000000000000003E-2</v>
      </c>
      <c r="J68" s="175">
        <v>3.5000000000000003E-2</v>
      </c>
    </row>
    <row r="69" spans="1:10">
      <c r="A69" s="130"/>
      <c r="B69" s="130"/>
      <c r="C69" s="172"/>
      <c r="D69" s="172"/>
      <c r="E69" s="172"/>
      <c r="F69" s="172"/>
      <c r="G69" s="172"/>
      <c r="H69" s="172"/>
      <c r="I69" s="172"/>
      <c r="J69" s="172"/>
    </row>
    <row r="70" spans="1:10">
      <c r="A70" s="155" t="s">
        <v>420</v>
      </c>
      <c r="B70" s="155"/>
      <c r="C70" s="177"/>
      <c r="D70" s="177"/>
      <c r="E70" s="177"/>
      <c r="F70" s="177"/>
      <c r="G70" s="177"/>
      <c r="H70" s="177"/>
      <c r="I70" s="177"/>
      <c r="J70" s="177"/>
    </row>
    <row r="71" spans="1:10">
      <c r="A71" s="130" t="s">
        <v>238</v>
      </c>
      <c r="B71" s="130" t="s">
        <v>26</v>
      </c>
      <c r="C71" s="172">
        <f>SUM('02_Raw_Financials'!K59,'02_Raw_Financials'!K67)</f>
        <v>1891.7070000000001</v>
      </c>
      <c r="D71" s="172">
        <f>SUM('02_Raw_Financials'!L59,'02_Raw_Financials'!L67)</f>
        <v>1800</v>
      </c>
      <c r="E71" s="172">
        <f>SUM('02_Raw_Financials'!M59,'02_Raw_Financials'!M67)</f>
        <v>1806.3</v>
      </c>
      <c r="F71" s="172">
        <f>E71*(1+F72)</f>
        <v>1806.3</v>
      </c>
      <c r="G71" s="172">
        <f>F71*(1+G72)</f>
        <v>1806.3</v>
      </c>
      <c r="H71" s="172">
        <f>G71*(1+H72)</f>
        <v>1806.3</v>
      </c>
      <c r="I71" s="172">
        <f>H71*(1+I72)</f>
        <v>1806.3</v>
      </c>
      <c r="J71" s="172">
        <f>I71*(1+J72)</f>
        <v>1806.3</v>
      </c>
    </row>
    <row r="72" spans="1:10">
      <c r="A72" s="130" t="s">
        <v>421</v>
      </c>
      <c r="B72" s="130" t="s">
        <v>178</v>
      </c>
      <c r="C72" s="167">
        <f>IFERROR(C71/SUM('02_Raw_Financials'!J59,'02_Raw_Financials'!J67)-1,0)</f>
        <v>-0.16011369524187535</v>
      </c>
      <c r="D72" s="167">
        <f>IFERROR(D71/C71-1,0)</f>
        <v>-4.8478437728464385E-2</v>
      </c>
      <c r="E72" s="167">
        <f>IFERROR(E71/D71-1,0)</f>
        <v>3.5000000000000586E-3</v>
      </c>
      <c r="F72" s="175">
        <v>0</v>
      </c>
      <c r="G72" s="175">
        <v>0</v>
      </c>
      <c r="H72" s="175">
        <v>0</v>
      </c>
      <c r="I72" s="175">
        <v>0</v>
      </c>
      <c r="J72" s="175">
        <v>0</v>
      </c>
    </row>
    <row r="73" spans="1:10">
      <c r="A73" s="130" t="s">
        <v>239</v>
      </c>
      <c r="B73" s="130" t="s">
        <v>26</v>
      </c>
      <c r="C73" s="176">
        <f>C20</f>
        <v>49388.313000000002</v>
      </c>
      <c r="D73" s="176">
        <f>D20</f>
        <v>65009.8</v>
      </c>
      <c r="E73" s="176">
        <f>E20</f>
        <v>75942.899999999994</v>
      </c>
      <c r="F73" s="176">
        <f>F20</f>
        <v>75942.899999999994</v>
      </c>
      <c r="G73" s="176">
        <f>G20</f>
        <v>74803.756499999989</v>
      </c>
      <c r="H73" s="176">
        <f>H20</f>
        <v>73681.700152499994</v>
      </c>
      <c r="I73" s="176">
        <f>I20</f>
        <v>73681.700152499994</v>
      </c>
      <c r="J73" s="176">
        <f>J20</f>
        <v>74418.517154025001</v>
      </c>
    </row>
    <row r="74" spans="1:10">
      <c r="A74" s="130" t="s">
        <v>422</v>
      </c>
      <c r="B74" s="130" t="s">
        <v>26</v>
      </c>
      <c r="C74" s="172">
        <f>SUM(C71,C73)</f>
        <v>51280.020000000004</v>
      </c>
      <c r="D74" s="172">
        <f>SUM(D71,D73)</f>
        <v>66809.8</v>
      </c>
      <c r="E74" s="172">
        <f>SUM(E71,E73)</f>
        <v>77749.2</v>
      </c>
      <c r="F74" s="172">
        <f>SUM(F71,F73)</f>
        <v>77749.2</v>
      </c>
      <c r="G74" s="172">
        <f>SUM(G71,G73)</f>
        <v>76610.056499999992</v>
      </c>
      <c r="H74" s="172">
        <f>SUM(H71,H73)</f>
        <v>75488.000152499997</v>
      </c>
      <c r="I74" s="172">
        <f>SUM(I71,I73)</f>
        <v>75488.000152499997</v>
      </c>
      <c r="J74" s="172">
        <f>SUM(J71,J73)</f>
        <v>76224.817154025004</v>
      </c>
    </row>
    <row r="75" spans="1:10">
      <c r="A75" s="130" t="s">
        <v>423</v>
      </c>
      <c r="B75" s="130" t="s">
        <v>26</v>
      </c>
      <c r="C75" s="172">
        <f>AVERAGE(SUM('02_Raw_Financials'!J59,'02_Raw_Financials'!J60,'02_Raw_Financials'!J67,'02_Raw_Financials'!J68),C74)</f>
        <v>48067.116500000004</v>
      </c>
      <c r="D75" s="172">
        <f>AVERAGE(C74,D74)</f>
        <v>59044.91</v>
      </c>
      <c r="E75" s="172">
        <f>AVERAGE(D74,E74)</f>
        <v>72279.5</v>
      </c>
      <c r="F75" s="172">
        <f>AVERAGE(E74,F74)</f>
        <v>77749.2</v>
      </c>
      <c r="G75" s="172">
        <f>AVERAGE(F74,G74)</f>
        <v>77179.628249999994</v>
      </c>
      <c r="H75" s="172">
        <f>AVERAGE(G74,H74)</f>
        <v>76049.028326250002</v>
      </c>
      <c r="I75" s="172">
        <f>AVERAGE(H74,I74)</f>
        <v>75488.000152499997</v>
      </c>
      <c r="J75" s="172">
        <f>AVERAGE(I74,J74)</f>
        <v>75856.408653262508</v>
      </c>
    </row>
    <row r="76" spans="1:10">
      <c r="A76" s="130" t="s">
        <v>424</v>
      </c>
      <c r="B76" s="130" t="s">
        <v>178</v>
      </c>
      <c r="C76" s="167">
        <f>'07_Income_Statement'!C32/C75</f>
        <v>8.6740256199890828E-2</v>
      </c>
      <c r="D76" s="167">
        <f>'07_Income_Statement'!D32/D75</f>
        <v>8.6036205322355466E-2</v>
      </c>
      <c r="E76" s="167">
        <f>'07_Income_Statement'!E32/E75</f>
        <v>8.1500287080015776E-2</v>
      </c>
      <c r="F76" s="175">
        <v>0.08</v>
      </c>
      <c r="G76" s="175">
        <v>7.8E-2</v>
      </c>
      <c r="H76" s="175">
        <v>7.5999999999999998E-2</v>
      </c>
      <c r="I76" s="175">
        <v>7.4999999999999997E-2</v>
      </c>
      <c r="J76" s="175">
        <v>7.4999999999999997E-2</v>
      </c>
    </row>
    <row r="77" spans="1:10">
      <c r="A77" s="130" t="s">
        <v>39</v>
      </c>
      <c r="B77" s="130" t="s">
        <v>26</v>
      </c>
      <c r="C77" s="178">
        <f>'07_Income_Statement'!C32</f>
        <v>4169.3540000000003</v>
      </c>
      <c r="D77" s="178">
        <f>'07_Income_Statement'!D32</f>
        <v>5080</v>
      </c>
      <c r="E77" s="178">
        <f>'07_Income_Statement'!E32</f>
        <v>5890.8</v>
      </c>
      <c r="F77" s="178">
        <f>F75*F76</f>
        <v>6219.9359999999997</v>
      </c>
      <c r="G77" s="178">
        <f>G75*G76</f>
        <v>6020.0110034999998</v>
      </c>
      <c r="H77" s="178">
        <f>H75*H76</f>
        <v>5779.7261527950004</v>
      </c>
      <c r="I77" s="178">
        <f>I75*I76</f>
        <v>5661.6000114374992</v>
      </c>
      <c r="J77" s="178">
        <f>J75*J76</f>
        <v>5689.2306489946877</v>
      </c>
    </row>
    <row r="78" spans="1:10">
      <c r="A78" s="130"/>
      <c r="B78" s="130"/>
      <c r="C78" s="172"/>
      <c r="D78" s="172"/>
      <c r="E78" s="172"/>
      <c r="F78" s="172"/>
      <c r="G78" s="172"/>
      <c r="H78" s="172"/>
      <c r="I78" s="172"/>
      <c r="J78" s="172"/>
    </row>
    <row r="79" spans="1:10">
      <c r="A79" s="130"/>
      <c r="B79" s="130"/>
      <c r="C79" s="172"/>
      <c r="D79" s="172"/>
      <c r="E79" s="172"/>
      <c r="F79" s="172"/>
      <c r="G79" s="172"/>
      <c r="H79" s="172"/>
      <c r="I79" s="172"/>
      <c r="J79" s="172"/>
    </row>
    <row r="80" spans="1:10">
      <c r="A80" s="162" t="s">
        <v>425</v>
      </c>
      <c r="B80" s="162"/>
      <c r="C80" s="173"/>
      <c r="D80" s="173"/>
      <c r="E80" s="173"/>
      <c r="F80" s="173"/>
      <c r="G80" s="173"/>
      <c r="H80" s="173"/>
      <c r="I80" s="173"/>
      <c r="J80" s="173"/>
    </row>
    <row r="81" spans="1:10">
      <c r="A81" s="130" t="s">
        <v>66</v>
      </c>
      <c r="B81" s="130" t="s">
        <v>26</v>
      </c>
      <c r="C81" s="172">
        <f>'02_Raw_Financials'!K48</f>
        <v>695.27700000000004</v>
      </c>
      <c r="D81" s="172">
        <f>'02_Raw_Financials'!L48</f>
        <v>1073.0999999999999</v>
      </c>
      <c r="E81" s="172">
        <f>'02_Raw_Financials'!M48</f>
        <v>1323.9</v>
      </c>
      <c r="F81" s="172"/>
      <c r="G81" s="172"/>
      <c r="H81" s="172"/>
      <c r="I81" s="172"/>
      <c r="J81" s="172"/>
    </row>
    <row r="82" spans="1:10">
      <c r="A82" s="130" t="s">
        <v>64</v>
      </c>
      <c r="B82" s="130" t="s">
        <v>26</v>
      </c>
      <c r="C82" s="172">
        <f>'02_Raw_Financials'!K46</f>
        <v>15571.123</v>
      </c>
      <c r="D82" s="172">
        <f>'02_Raw_Financials'!L46</f>
        <v>24774.799999999999</v>
      </c>
      <c r="E82" s="172">
        <f>'02_Raw_Financials'!M46</f>
        <v>25743.8</v>
      </c>
      <c r="F82" s="172"/>
      <c r="G82" s="172"/>
      <c r="H82" s="172"/>
      <c r="I82" s="172"/>
      <c r="J82" s="172"/>
    </row>
    <row r="83" spans="1:10">
      <c r="A83" s="130" t="s">
        <v>67</v>
      </c>
      <c r="B83" s="130" t="s">
        <v>26</v>
      </c>
      <c r="C83" s="172">
        <f>'02_Raw_Financials'!K49</f>
        <v>16025.329999999998</v>
      </c>
      <c r="D83" s="172">
        <f>'02_Raw_Financials'!L49</f>
        <v>17889.8</v>
      </c>
      <c r="E83" s="172">
        <f>'02_Raw_Financials'!M49</f>
        <v>22675.4</v>
      </c>
      <c r="F83" s="172"/>
      <c r="G83" s="172"/>
      <c r="H83" s="172"/>
      <c r="I83" s="172"/>
      <c r="J83" s="172"/>
    </row>
    <row r="84" spans="1:10">
      <c r="A84" s="130" t="s">
        <v>426</v>
      </c>
      <c r="B84" s="130" t="s">
        <v>26</v>
      </c>
      <c r="C84" s="178">
        <f>SUM(C81:C83)</f>
        <v>32291.729999999996</v>
      </c>
      <c r="D84" s="178">
        <f>SUM(D81:D83)</f>
        <v>43737.7</v>
      </c>
      <c r="E84" s="178">
        <f>SUM(E81:E83)</f>
        <v>49743.100000000006</v>
      </c>
      <c r="F84" s="172"/>
      <c r="G84" s="172"/>
      <c r="H84" s="172"/>
      <c r="I84" s="172"/>
      <c r="J84" s="172"/>
    </row>
    <row r="85" spans="1:10">
      <c r="A85" s="130" t="s">
        <v>514</v>
      </c>
      <c r="B85" s="130" t="s">
        <v>26</v>
      </c>
      <c r="C85" s="178"/>
      <c r="D85" s="178"/>
      <c r="E85" s="178">
        <v>36216.300000000003</v>
      </c>
      <c r="F85" s="172"/>
      <c r="G85" s="172"/>
      <c r="H85" s="172"/>
      <c r="I85" s="172"/>
      <c r="J85" s="172"/>
    </row>
    <row r="86" spans="1:10">
      <c r="A86" s="130" t="s">
        <v>515</v>
      </c>
      <c r="B86" s="130" t="s">
        <v>26</v>
      </c>
      <c r="C86" s="178"/>
      <c r="D86" s="178"/>
      <c r="E86" s="178">
        <f>E74-E85</f>
        <v>41532.899999999994</v>
      </c>
      <c r="F86" s="172"/>
      <c r="G86" s="172"/>
      <c r="H86" s="172"/>
      <c r="I86" s="172"/>
      <c r="J86" s="172"/>
    </row>
    <row r="87" spans="1:10">
      <c r="A87" s="130" t="s">
        <v>428</v>
      </c>
      <c r="B87" s="130"/>
      <c r="C87" s="172" t="s">
        <v>516</v>
      </c>
      <c r="D87" s="172"/>
      <c r="E87" s="172"/>
      <c r="F87" s="172"/>
      <c r="G87" s="172"/>
      <c r="H87" s="172"/>
      <c r="I87" s="172"/>
      <c r="J87" s="172"/>
    </row>
    <row r="88" spans="1:10">
      <c r="A88" s="130" t="s">
        <v>371</v>
      </c>
      <c r="B88" s="130"/>
      <c r="C88" s="172" t="s">
        <v>517</v>
      </c>
      <c r="D88" s="172"/>
      <c r="E88" s="172"/>
      <c r="F88" s="172"/>
      <c r="G88" s="172"/>
      <c r="H88" s="172"/>
      <c r="I88" s="172"/>
      <c r="J88" s="172"/>
    </row>
    <row r="89" spans="1:10">
      <c r="A89" s="171"/>
      <c r="B89" s="171"/>
      <c r="C89" s="174"/>
      <c r="D89" s="174"/>
      <c r="E89" s="174"/>
      <c r="F89" s="174"/>
      <c r="G89" s="174"/>
      <c r="H89" s="174"/>
      <c r="I89" s="174"/>
      <c r="J89" s="174"/>
    </row>
    <row r="90" spans="1:10">
      <c r="A90" s="130"/>
      <c r="B90" s="130"/>
      <c r="C90" s="172"/>
      <c r="D90" s="172"/>
      <c r="E90" s="172"/>
      <c r="F90" s="172"/>
      <c r="G90" s="172"/>
      <c r="H90" s="172"/>
      <c r="I90" s="172"/>
      <c r="J90" s="172"/>
    </row>
    <row r="91" spans="1:10">
      <c r="A91" s="130"/>
      <c r="B91" s="130"/>
      <c r="C91" s="172"/>
      <c r="D91" s="172"/>
      <c r="E91" s="172"/>
      <c r="F91" s="172"/>
      <c r="G91" s="172"/>
      <c r="H91" s="172"/>
      <c r="I91" s="172"/>
      <c r="J91" s="172"/>
    </row>
    <row r="92" spans="1:10">
      <c r="A92" s="130"/>
      <c r="B92" s="130"/>
      <c r="C92" s="172"/>
      <c r="D92" s="172"/>
      <c r="E92" s="172"/>
      <c r="F92" s="172"/>
      <c r="G92" s="172"/>
      <c r="H92" s="172"/>
      <c r="I92" s="172"/>
      <c r="J92" s="172"/>
    </row>
  </sheetData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21"/>
  <sheetViews>
    <sheetView showGridLines="0" workbookViewId="0">
      <selection sqref="A1:N1"/>
    </sheetView>
  </sheetViews>
  <sheetFormatPr baseColWidth="10" defaultColWidth="8.83203125" defaultRowHeight="14"/>
  <cols>
    <col min="1" max="1" width="39.1640625" customWidth="1"/>
    <col min="2" max="2" width="15.83203125" customWidth="1"/>
    <col min="3" max="10" width="13.6640625" customWidth="1"/>
  </cols>
  <sheetData>
    <row r="1" spans="1:10" ht="28" customHeight="1">
      <c r="A1" s="179" t="s">
        <v>430</v>
      </c>
      <c r="B1" s="179"/>
      <c r="C1" s="179"/>
      <c r="D1" s="179"/>
      <c r="E1" s="179"/>
      <c r="F1" s="179"/>
      <c r="G1" s="179"/>
      <c r="H1" s="179"/>
      <c r="I1" s="179"/>
      <c r="J1" s="179"/>
    </row>
    <row r="2" spans="1:10" ht="30" customHeight="1">
      <c r="A2" s="130" t="s">
        <v>314</v>
      </c>
      <c r="B2" s="130"/>
      <c r="C2" s="130"/>
      <c r="D2" s="130"/>
      <c r="E2" s="130"/>
      <c r="F2" s="130"/>
      <c r="G2" s="130"/>
      <c r="H2" s="130"/>
      <c r="I2" s="130"/>
      <c r="J2" s="130"/>
    </row>
    <row r="3" spans="1:10">
      <c r="A3" s="130" t="s">
        <v>431</v>
      </c>
      <c r="B3" s="130"/>
      <c r="C3" s="130"/>
      <c r="D3" s="130"/>
      <c r="E3" s="130"/>
      <c r="F3" s="130"/>
      <c r="G3" s="130"/>
      <c r="H3" s="130"/>
      <c r="I3" s="130"/>
      <c r="J3" s="130"/>
    </row>
    <row r="4" spans="1:10">
      <c r="A4" s="130"/>
      <c r="B4" s="130"/>
      <c r="C4" s="130"/>
      <c r="D4" s="130"/>
      <c r="E4" s="130"/>
      <c r="F4" s="130"/>
      <c r="G4" s="130"/>
      <c r="H4" s="130"/>
      <c r="I4" s="130"/>
      <c r="J4" s="130"/>
    </row>
    <row r="5" spans="1:10" ht="15" customHeight="1" thickBot="1">
      <c r="A5" s="182" t="s">
        <v>8</v>
      </c>
      <c r="B5" s="182" t="s">
        <v>9</v>
      </c>
      <c r="C5" s="182" t="s">
        <v>262</v>
      </c>
      <c r="D5" s="182" t="s">
        <v>263</v>
      </c>
      <c r="E5" s="182" t="s">
        <v>264</v>
      </c>
      <c r="F5" s="182" t="s">
        <v>265</v>
      </c>
      <c r="G5" s="182" t="s">
        <v>266</v>
      </c>
      <c r="H5" s="182" t="s">
        <v>267</v>
      </c>
      <c r="I5" s="182" t="s">
        <v>268</v>
      </c>
      <c r="J5" s="182" t="s">
        <v>269</v>
      </c>
    </row>
    <row r="6" spans="1:10" ht="15" customHeight="1">
      <c r="A6" s="130" t="s">
        <v>129</v>
      </c>
      <c r="B6" s="130"/>
      <c r="C6" s="130" t="s">
        <v>270</v>
      </c>
      <c r="D6" s="130" t="s">
        <v>270</v>
      </c>
      <c r="E6" s="130" t="s">
        <v>270</v>
      </c>
      <c r="F6" s="130" t="s">
        <v>271</v>
      </c>
      <c r="G6" s="130" t="s">
        <v>271</v>
      </c>
      <c r="H6" s="130" t="s">
        <v>271</v>
      </c>
      <c r="I6" s="130" t="s">
        <v>271</v>
      </c>
      <c r="J6" s="130" t="s">
        <v>271</v>
      </c>
    </row>
    <row r="7" spans="1:10" ht="15" customHeight="1">
      <c r="A7" s="130"/>
      <c r="B7" s="130"/>
      <c r="C7" s="130"/>
      <c r="D7" s="130"/>
      <c r="E7" s="130"/>
      <c r="F7" s="130"/>
      <c r="G7" s="130"/>
      <c r="H7" s="130"/>
      <c r="I7" s="130"/>
      <c r="J7" s="130"/>
    </row>
    <row r="8" spans="1:10" ht="15" customHeight="1">
      <c r="A8" s="181" t="s">
        <v>430</v>
      </c>
      <c r="B8" s="181"/>
      <c r="C8" s="181"/>
      <c r="D8" s="181"/>
      <c r="E8" s="181"/>
      <c r="F8" s="181"/>
      <c r="G8" s="181"/>
      <c r="H8" s="181"/>
      <c r="I8" s="181"/>
      <c r="J8" s="181"/>
    </row>
    <row r="9" spans="1:10">
      <c r="A9" s="130" t="s">
        <v>568</v>
      </c>
      <c r="B9" s="130" t="s">
        <v>26</v>
      </c>
      <c r="C9" s="172">
        <f>'07_Income_Statement'!C24-'07_Income_Statement'!C13</f>
        <v>9045.3870000000006</v>
      </c>
      <c r="D9" s="172">
        <f>'07_Income_Statement'!D24-'07_Income_Statement'!D13</f>
        <v>8256.2999999999993</v>
      </c>
      <c r="E9" s="172">
        <f>'07_Income_Statement'!E24-'07_Income_Statement'!E13</f>
        <v>-1927.7999999999997</v>
      </c>
      <c r="F9" s="172">
        <f>'07_Income_Statement'!F24-'07_Income_Statement'!F13</f>
        <v>256.55909536298532</v>
      </c>
      <c r="G9" s="172">
        <f>'07_Income_Statement'!G24-'07_Income_Statement'!G13</f>
        <v>2155.9694478464953</v>
      </c>
      <c r="H9" s="172">
        <f>'07_Income_Statement'!H24-'07_Income_Statement'!H13</f>
        <v>3394.8502832203521</v>
      </c>
      <c r="I9" s="172">
        <f>'07_Income_Statement'!I24-'07_Income_Statement'!I13</f>
        <v>4285.2103773272247</v>
      </c>
      <c r="J9" s="172">
        <f>'07_Income_Statement'!J24-'07_Income_Statement'!J13</f>
        <v>4924.0117143920406</v>
      </c>
    </row>
    <row r="10" spans="1:10">
      <c r="A10" s="130" t="s">
        <v>432</v>
      </c>
      <c r="B10" s="130" t="s">
        <v>178</v>
      </c>
      <c r="C10" s="167">
        <f>'07_Income_Statement'!F36</f>
        <v>0.252</v>
      </c>
      <c r="D10" s="167">
        <f>'07_Income_Statement'!F36</f>
        <v>0.252</v>
      </c>
      <c r="E10" s="167">
        <f>'07_Income_Statement'!F36</f>
        <v>0.252</v>
      </c>
      <c r="F10" s="167">
        <f>'07_Income_Statement'!F36</f>
        <v>0.252</v>
      </c>
      <c r="G10" s="167">
        <f>'07_Income_Statement'!F36</f>
        <v>0.252</v>
      </c>
      <c r="H10" s="167">
        <f>'07_Income_Statement'!F36</f>
        <v>0.252</v>
      </c>
      <c r="I10" s="167">
        <f>'07_Income_Statement'!F36</f>
        <v>0.252</v>
      </c>
      <c r="J10" s="167">
        <f>'07_Income_Statement'!F36</f>
        <v>0.252</v>
      </c>
    </row>
    <row r="11" spans="1:10" ht="32" customHeight="1">
      <c r="A11" s="130" t="s">
        <v>433</v>
      </c>
      <c r="B11" s="130" t="s">
        <v>26</v>
      </c>
      <c r="C11" s="172">
        <f>MAX(C9,0)*C10</f>
        <v>2279.4375240000004</v>
      </c>
      <c r="D11" s="172">
        <f>MAX(D9,0)*D10</f>
        <v>2080.5875999999998</v>
      </c>
      <c r="E11" s="172">
        <f>MAX(E9,0)*E10</f>
        <v>0</v>
      </c>
      <c r="F11" s="172">
        <f>MAX(F9,0)*F10</f>
        <v>64.652892031472305</v>
      </c>
      <c r="G11" s="172">
        <f>MAX(G9,0)*G10</f>
        <v>543.30430085731678</v>
      </c>
      <c r="H11" s="172">
        <f>MAX(H9,0)*H10</f>
        <v>855.50227137152876</v>
      </c>
      <c r="I11" s="172">
        <f>MAX(I9,0)*I10</f>
        <v>1079.8730150864606</v>
      </c>
      <c r="J11" s="172">
        <f>MAX(J9,0)*J10</f>
        <v>1240.8509520267942</v>
      </c>
    </row>
    <row r="12" spans="1:10">
      <c r="A12" s="130" t="s">
        <v>434</v>
      </c>
      <c r="B12" s="130" t="s">
        <v>26</v>
      </c>
      <c r="C12" s="172">
        <f>C9-C11</f>
        <v>6765.9494759999998</v>
      </c>
      <c r="D12" s="172">
        <f>D9-D11</f>
        <v>6175.7123999999994</v>
      </c>
      <c r="E12" s="172">
        <f>E9-E11</f>
        <v>-1927.7999999999997</v>
      </c>
      <c r="F12" s="172">
        <f>F9-F11</f>
        <v>191.90620333151301</v>
      </c>
      <c r="G12" s="172">
        <f>G9-G11</f>
        <v>1612.6651469891785</v>
      </c>
      <c r="H12" s="172">
        <f>H9-H11</f>
        <v>2539.3480118488233</v>
      </c>
      <c r="I12" s="172">
        <f>I9-I11</f>
        <v>3205.3373622407644</v>
      </c>
      <c r="J12" s="172">
        <f>J9-J11</f>
        <v>3683.1607623652462</v>
      </c>
    </row>
    <row r="13" spans="1:10">
      <c r="A13" s="130" t="s">
        <v>38</v>
      </c>
      <c r="B13" s="130" t="s">
        <v>26</v>
      </c>
      <c r="C13" s="172">
        <f>'07_Income_Statement'!C20</f>
        <v>6425.7290000000003</v>
      </c>
      <c r="D13" s="172">
        <f>'07_Income_Statement'!D20</f>
        <v>8680.2000000000007</v>
      </c>
      <c r="E13" s="172">
        <f>'07_Income_Statement'!E20</f>
        <v>10808.2</v>
      </c>
      <c r="F13" s="172">
        <f>'07_Income_Statement'!F20</f>
        <v>11515.735652571429</v>
      </c>
      <c r="G13" s="172">
        <f>'07_Income_Statement'!G20</f>
        <v>12961.159545484801</v>
      </c>
      <c r="H13" s="172">
        <f>'07_Income_Statement'!H20</f>
        <v>14624.348973709721</v>
      </c>
      <c r="I13" s="172">
        <f>'07_Income_Statement'!I20</f>
        <v>16292.051481146002</v>
      </c>
      <c r="J13" s="172">
        <f>'07_Income_Statement'!J20</f>
        <v>17990.806003634472</v>
      </c>
    </row>
    <row r="14" spans="1:10">
      <c r="A14" s="130" t="s">
        <v>569</v>
      </c>
      <c r="B14" s="130" t="s">
        <v>26</v>
      </c>
      <c r="C14" s="172">
        <f>'08_Balance_Sheet'!C67</f>
        <v>1102.645</v>
      </c>
      <c r="D14" s="172">
        <f>'08_Balance_Sheet'!D67</f>
        <v>1604.8</v>
      </c>
      <c r="E14" s="172">
        <f>'08_Balance_Sheet'!E67</f>
        <v>2271.8000000000002</v>
      </c>
      <c r="F14" s="172">
        <f>F13+'08_Balance_Sheet'!F35-'08_Balance_Sheet'!E35</f>
        <v>14552.493652571437</v>
      </c>
      <c r="G14" s="172">
        <f>G13+'08_Balance_Sheet'!G35-'08_Balance_Sheet'!F35</f>
        <v>15454.527045484792</v>
      </c>
      <c r="H14" s="172">
        <f>H13+'08_Balance_Sheet'!H35-'08_Balance_Sheet'!G35</f>
        <v>16966.032645709725</v>
      </c>
      <c r="I14" s="172">
        <f>I13+'08_Balance_Sheet'!I35-'08_Balance_Sheet'!H35</f>
        <v>19060.359109706013</v>
      </c>
      <c r="J14" s="172">
        <f>J13+'08_Balance_Sheet'!J35-'08_Balance_Sheet'!I35</f>
        <v>20578.571131869656</v>
      </c>
    </row>
    <row r="15" spans="1:10" ht="15" thickBot="1">
      <c r="A15" s="130" t="s">
        <v>417</v>
      </c>
      <c r="B15" s="130" t="s">
        <v>26</v>
      </c>
      <c r="C15" s="172">
        <f>'08_Balance_Sheet'!C66</f>
        <v>-5349.8310000000019</v>
      </c>
      <c r="D15" s="172">
        <f>'08_Balance_Sheet'!D66</f>
        <v>-1290.5029999999988</v>
      </c>
      <c r="E15" s="172">
        <f>'08_Balance_Sheet'!E66</f>
        <v>-1694.1000000000004</v>
      </c>
      <c r="F15" s="172">
        <f>'08_Balance_Sheet'!F66</f>
        <v>-1904.5113196872117</v>
      </c>
      <c r="G15" s="172">
        <f>'08_Balance_Sheet'!G66</f>
        <v>-2341.8097327121031</v>
      </c>
      <c r="H15" s="172">
        <f>'08_Balance_Sheet'!H66</f>
        <v>-2576.214755257075</v>
      </c>
      <c r="I15" s="172">
        <f>'08_Balance_Sheet'!I66</f>
        <v>-2707.2531199866826</v>
      </c>
      <c r="J15" s="172">
        <f>'08_Balance_Sheet'!J66</f>
        <v>-2744.2479520763663</v>
      </c>
    </row>
    <row r="16" spans="1:10" ht="15" thickBot="1">
      <c r="A16" s="130" t="s">
        <v>435</v>
      </c>
      <c r="B16" s="130" t="s">
        <v>26</v>
      </c>
      <c r="C16" s="183">
        <f>C12+C13-C14-C15</f>
        <v>17438.864476000002</v>
      </c>
      <c r="D16" s="183">
        <f>D12+D13-D14-D15</f>
        <v>14541.615400000001</v>
      </c>
      <c r="E16" s="183">
        <f>E12+E13-E14-E15</f>
        <v>8302.7000000000007</v>
      </c>
      <c r="F16" s="183">
        <f>F12+F13-F14-F15</f>
        <v>-940.34047698128234</v>
      </c>
      <c r="G16" s="183">
        <f>G12+G13-G14-G15</f>
        <v>1461.1073797012905</v>
      </c>
      <c r="H16" s="183">
        <f>H12+H13-H14-H15</f>
        <v>2773.8790951058945</v>
      </c>
      <c r="I16" s="183">
        <f>I12+I13-I14-I15</f>
        <v>3144.2828536674351</v>
      </c>
      <c r="J16" s="183">
        <f>J12+J13-J14-J15</f>
        <v>3839.6435862064282</v>
      </c>
    </row>
    <row r="17" spans="1:10">
      <c r="A17" s="130" t="s">
        <v>436</v>
      </c>
      <c r="B17" s="130" t="s">
        <v>178</v>
      </c>
      <c r="C17" s="167">
        <f>C16/'07_Income_Statement'!C11</f>
        <v>0.25308803436509125</v>
      </c>
      <c r="D17" s="167">
        <f>D16/'07_Income_Statement'!D11</f>
        <v>0.17996402851877843</v>
      </c>
      <c r="E17" s="167">
        <f>E16/'07_Income_Statement'!E11</f>
        <v>9.7722626259535178E-2</v>
      </c>
      <c r="F17" s="167">
        <f>F16/'07_Income_Statement'!F11</f>
        <v>-9.8023287245036419E-3</v>
      </c>
      <c r="G17" s="167">
        <f>G16/'07_Income_Statement'!G11</f>
        <v>1.339750868162819E-2</v>
      </c>
      <c r="H17" s="167">
        <f>H16/'07_Income_Statement'!H11</f>
        <v>2.2426394072594977E-2</v>
      </c>
      <c r="I17" s="167">
        <f>I16/'07_Income_Statement'!I11</f>
        <v>2.2688014575838553E-2</v>
      </c>
      <c r="J17" s="167">
        <f>J16/'07_Income_Statement'!J11</f>
        <v>2.5090585538038928E-2</v>
      </c>
    </row>
    <row r="18" spans="1:10">
      <c r="A18" s="130" t="s">
        <v>570</v>
      </c>
      <c r="B18" s="130"/>
      <c r="C18" s="172" t="s">
        <v>571</v>
      </c>
      <c r="D18" s="172"/>
      <c r="E18" s="172"/>
      <c r="F18" s="172"/>
      <c r="G18" s="172"/>
      <c r="H18" s="172"/>
      <c r="I18" s="172"/>
      <c r="J18" s="172"/>
    </row>
    <row r="19" spans="1:10">
      <c r="A19" s="170" t="s">
        <v>572</v>
      </c>
      <c r="B19" s="170"/>
      <c r="C19" s="184" t="s">
        <v>573</v>
      </c>
      <c r="D19" s="184"/>
      <c r="E19" s="184"/>
      <c r="F19" s="184"/>
      <c r="G19" s="184"/>
      <c r="H19" s="184"/>
      <c r="I19" s="184"/>
      <c r="J19" s="184"/>
    </row>
    <row r="20" spans="1:10">
      <c r="A20" s="130" t="s">
        <v>577</v>
      </c>
      <c r="B20" s="130"/>
      <c r="C20" s="172" t="s">
        <v>578</v>
      </c>
      <c r="D20" s="172"/>
      <c r="E20" s="172"/>
      <c r="F20" s="172"/>
      <c r="G20" s="172"/>
      <c r="H20" s="172"/>
      <c r="I20" s="172"/>
      <c r="J20" s="172"/>
    </row>
    <row r="21" spans="1:10">
      <c r="A21" s="130"/>
      <c r="B21" s="130"/>
      <c r="C21" s="130"/>
      <c r="D21" s="130"/>
      <c r="E21" s="130"/>
      <c r="F21" s="130"/>
      <c r="G21" s="130"/>
      <c r="H21" s="130"/>
      <c r="I21" s="130"/>
      <c r="J21" s="130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17"/>
  <sheetViews>
    <sheetView showGridLines="0" workbookViewId="0">
      <selection activeCell="D15" sqref="D15"/>
    </sheetView>
  </sheetViews>
  <sheetFormatPr baseColWidth="10" defaultColWidth="8.83203125" defaultRowHeight="14"/>
  <cols>
    <col min="1" max="1" width="38.33203125" customWidth="1"/>
    <col min="2" max="4" width="16.6640625" customWidth="1"/>
    <col min="5" max="8" width="11.6640625" customWidth="1"/>
  </cols>
  <sheetData>
    <row r="1" spans="1:10" ht="28" customHeight="1">
      <c r="A1" s="179" t="s">
        <v>542</v>
      </c>
      <c r="B1" s="179"/>
      <c r="C1" s="179"/>
      <c r="D1" s="179"/>
      <c r="E1" s="179"/>
      <c r="F1" s="179"/>
      <c r="G1" s="179"/>
      <c r="H1" s="179"/>
      <c r="I1" s="179"/>
      <c r="J1" s="179"/>
    </row>
    <row r="2" spans="1:10" ht="30" customHeight="1">
      <c r="A2" s="130" t="s">
        <v>543</v>
      </c>
      <c r="B2" s="130"/>
      <c r="C2" s="130"/>
      <c r="D2" s="130"/>
    </row>
    <row r="3" spans="1:10">
      <c r="A3" s="130" t="s">
        <v>544</v>
      </c>
      <c r="B3" s="130"/>
      <c r="C3" s="130"/>
      <c r="D3" s="130"/>
    </row>
    <row r="4" spans="1:10">
      <c r="A4" s="130"/>
      <c r="B4" s="130"/>
      <c r="C4" s="130"/>
      <c r="D4" s="130"/>
    </row>
    <row r="5" spans="1:10" ht="15" customHeight="1">
      <c r="A5" s="215" t="s">
        <v>466</v>
      </c>
      <c r="B5" s="215" t="s">
        <v>467</v>
      </c>
      <c r="C5" s="215" t="s">
        <v>468</v>
      </c>
      <c r="D5" s="215" t="s">
        <v>469</v>
      </c>
    </row>
    <row r="6" spans="1:10" ht="15" customHeight="1">
      <c r="A6" s="130"/>
      <c r="B6" s="130"/>
      <c r="C6" s="130"/>
      <c r="D6" s="130"/>
    </row>
    <row r="7" spans="1:10" ht="15" customHeight="1">
      <c r="A7" s="130" t="s">
        <v>545</v>
      </c>
      <c r="B7" s="216">
        <v>2.5000000000000001E-2</v>
      </c>
      <c r="C7" s="218">
        <f>'06_Operating_Model'!F19</f>
        <v>4.4571428571428484E-2</v>
      </c>
      <c r="D7" s="216">
        <v>6.5000000000000002E-2</v>
      </c>
    </row>
    <row r="8" spans="1:10" ht="15" customHeight="1">
      <c r="A8" s="130" t="s">
        <v>546</v>
      </c>
      <c r="B8" s="216">
        <v>0.04</v>
      </c>
      <c r="C8" s="212">
        <f>'06_Operating_Model'!F36</f>
        <v>8.7719587628866114E-2</v>
      </c>
      <c r="D8" s="216">
        <v>0.12</v>
      </c>
    </row>
    <row r="9" spans="1:10">
      <c r="A9" s="130" t="s">
        <v>547</v>
      </c>
      <c r="B9" s="216">
        <v>0.1</v>
      </c>
      <c r="C9" s="212">
        <f>'06_Operating_Model'!F52</f>
        <v>0.05</v>
      </c>
      <c r="D9" s="216">
        <v>0</v>
      </c>
    </row>
    <row r="10" spans="1:10" ht="15" thickBot="1">
      <c r="A10" s="130" t="s">
        <v>558</v>
      </c>
      <c r="B10" s="217">
        <v>0.09</v>
      </c>
      <c r="C10" s="212">
        <f>'06_Operating_Model'!F55</f>
        <v>7.0000000000000007E-2</v>
      </c>
      <c r="D10" s="217">
        <v>0.05</v>
      </c>
    </row>
    <row r="11" spans="1:10" ht="32" customHeight="1" thickBot="1">
      <c r="A11" s="130"/>
      <c r="B11" s="188"/>
      <c r="C11" s="188"/>
      <c r="D11" s="188"/>
    </row>
    <row r="12" spans="1:10">
      <c r="A12" s="130" t="s">
        <v>548</v>
      </c>
      <c r="B12" s="132">
        <f>('06_Operating_Model'!$E$18*(1+B$7))*('06_Operating_Model'!$E$35*(1+B$8)+'06_Operating_Model'!$F$37)*100</f>
        <v>90531.84234106529</v>
      </c>
      <c r="C12" s="132">
        <f>('06_Operating_Model'!$E$18*(1+C$7))*('06_Operating_Model'!$E$35*(1+C$8)+'06_Operating_Model'!$F$37)*100</f>
        <v>95930.314459934423</v>
      </c>
      <c r="D12" s="132">
        <f>('06_Operating_Model'!$E$18*(1+D$7))*('06_Operating_Model'!$E$35*(1+D$8)+'06_Operating_Model'!$F$37)*100</f>
        <v>100337.47188608247</v>
      </c>
    </row>
    <row r="13" spans="1:10">
      <c r="A13" s="130" t="s">
        <v>549</v>
      </c>
      <c r="B13" s="132">
        <f>('06_Operating_Model'!$E$18*(1+B$7))*('06_Operating_Model'!$E$51*(1+B$9)+'06_Operating_Model'!$E$54*(1+B$10))*100</f>
        <v>96426.415800000002</v>
      </c>
      <c r="C13" s="132">
        <f>('06_Operating_Model'!$E$18*(1+C$7))*('06_Operating_Model'!$E$51*(1+C$9)+'06_Operating_Model'!$E$54*(1+C$10))*100</f>
        <v>95673.755364571422</v>
      </c>
      <c r="D13" s="132">
        <f>('06_Operating_Model'!$E$18*(1+D$7))*('06_Operating_Model'!$E$51*(1+D$9)+'06_Operating_Model'!$E$54*(1+D$10))*100</f>
        <v>94900.275600000008</v>
      </c>
    </row>
    <row r="14" spans="1:10">
      <c r="A14" s="220" t="s">
        <v>296</v>
      </c>
      <c r="B14" s="221">
        <f>B12-B13</f>
        <v>-5894.5734589347121</v>
      </c>
      <c r="C14" s="221">
        <f>C12-C13</f>
        <v>256.55909536300169</v>
      </c>
      <c r="D14" s="221">
        <f>D12-D13</f>
        <v>5437.1962860824569</v>
      </c>
    </row>
    <row r="15" spans="1:10">
      <c r="A15" s="130" t="s">
        <v>550</v>
      </c>
      <c r="B15" s="219">
        <f>B14/B12</f>
        <v>-6.5110499317221238E-2</v>
      </c>
      <c r="C15" s="219">
        <f>C14/C12</f>
        <v>2.6744319228741227E-3</v>
      </c>
      <c r="D15" s="219">
        <f>D14/D12</f>
        <v>5.4189089917030642E-2</v>
      </c>
    </row>
    <row r="17" spans="1:4" ht="15">
      <c r="A17" s="214" t="s">
        <v>470</v>
      </c>
      <c r="B17" s="222" t="s">
        <v>567</v>
      </c>
      <c r="C17" s="222"/>
      <c r="D17" s="22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43"/>
  <sheetViews>
    <sheetView showGridLines="0" topLeftCell="A5" workbookViewId="0">
      <selection sqref="A1:N1"/>
    </sheetView>
  </sheetViews>
  <sheetFormatPr baseColWidth="10" defaultColWidth="8.83203125" defaultRowHeight="14"/>
  <cols>
    <col min="1" max="1" width="40.83203125" customWidth="1"/>
    <col min="2" max="2" width="19.1640625" customWidth="1"/>
    <col min="3" max="7" width="15" customWidth="1"/>
    <col min="8" max="8" width="11.6640625" customWidth="1"/>
  </cols>
  <sheetData>
    <row r="1" spans="1:10" ht="28" customHeight="1">
      <c r="A1" s="179" t="s">
        <v>437</v>
      </c>
      <c r="B1" s="179"/>
      <c r="C1" s="179"/>
      <c r="D1" s="179"/>
      <c r="E1" s="179"/>
      <c r="F1" s="179"/>
      <c r="G1" s="179"/>
      <c r="H1" s="179"/>
      <c r="I1" s="179"/>
      <c r="J1" s="179"/>
    </row>
    <row r="2" spans="1:10" ht="30" customHeight="1">
      <c r="A2" s="130" t="s">
        <v>438</v>
      </c>
      <c r="B2" s="130"/>
      <c r="C2" s="130"/>
      <c r="D2" s="130"/>
      <c r="E2" s="130"/>
      <c r="F2" s="130"/>
      <c r="G2" s="130"/>
    </row>
    <row r="3" spans="1:10">
      <c r="A3" s="130" t="s">
        <v>574</v>
      </c>
      <c r="B3" s="130"/>
      <c r="C3" s="130"/>
      <c r="D3" s="130"/>
      <c r="E3" s="130"/>
      <c r="F3" s="130"/>
      <c r="G3" s="130"/>
    </row>
    <row r="4" spans="1:10">
      <c r="A4" s="130"/>
      <c r="B4" s="130"/>
      <c r="C4" s="130"/>
      <c r="D4" s="130"/>
      <c r="E4" s="130"/>
      <c r="F4" s="130"/>
      <c r="G4" s="130"/>
    </row>
    <row r="5" spans="1:10" ht="15" customHeight="1">
      <c r="A5" s="185" t="s">
        <v>8</v>
      </c>
      <c r="B5" s="185" t="s">
        <v>9</v>
      </c>
      <c r="C5" s="185" t="s">
        <v>265</v>
      </c>
      <c r="D5" s="185" t="s">
        <v>266</v>
      </c>
      <c r="E5" s="185" t="s">
        <v>267</v>
      </c>
      <c r="F5" s="185" t="s">
        <v>268</v>
      </c>
      <c r="G5" s="185" t="s">
        <v>269</v>
      </c>
    </row>
    <row r="6" spans="1:10" ht="15" customHeight="1">
      <c r="A6" s="130"/>
      <c r="B6" s="130"/>
      <c r="C6" s="130"/>
      <c r="D6" s="130"/>
      <c r="E6" s="130"/>
      <c r="F6" s="130"/>
      <c r="G6" s="130"/>
    </row>
    <row r="7" spans="1:10" ht="15" customHeight="1">
      <c r="A7" s="162" t="s">
        <v>439</v>
      </c>
      <c r="B7" s="162"/>
      <c r="C7" s="162"/>
      <c r="D7" s="162"/>
      <c r="E7" s="162"/>
      <c r="F7" s="162"/>
      <c r="G7" s="162"/>
    </row>
    <row r="8" spans="1:10" ht="15" customHeight="1">
      <c r="A8" s="130" t="s">
        <v>435</v>
      </c>
      <c r="B8" s="130" t="s">
        <v>26</v>
      </c>
      <c r="C8" s="172">
        <f>'09_Cash_Flow'!F16</f>
        <v>-940.34047698128234</v>
      </c>
      <c r="D8" s="172">
        <f>'09_Cash_Flow'!G16</f>
        <v>1461.1073797012905</v>
      </c>
      <c r="E8" s="172">
        <f>'09_Cash_Flow'!H16</f>
        <v>2773.8790951058945</v>
      </c>
      <c r="F8" s="172">
        <f>'09_Cash_Flow'!I16</f>
        <v>3144.2828536674351</v>
      </c>
      <c r="G8" s="172">
        <f>'09_Cash_Flow'!J16</f>
        <v>3839.6435862064282</v>
      </c>
    </row>
    <row r="9" spans="1:10">
      <c r="A9" s="130" t="s">
        <v>440</v>
      </c>
      <c r="B9" s="130" t="s">
        <v>441</v>
      </c>
      <c r="C9" s="172">
        <v>1</v>
      </c>
      <c r="D9" s="172">
        <v>2</v>
      </c>
      <c r="E9" s="172">
        <v>3</v>
      </c>
      <c r="F9" s="172">
        <v>4</v>
      </c>
      <c r="G9" s="172">
        <v>5</v>
      </c>
    </row>
    <row r="10" spans="1:10">
      <c r="A10" s="130" t="s">
        <v>442</v>
      </c>
      <c r="B10" s="130" t="s">
        <v>232</v>
      </c>
      <c r="C10" s="186">
        <f>1/(1+$B$21)^C9</f>
        <v>0.89930645486201033</v>
      </c>
      <c r="D10" s="186">
        <f>1/(1+$B$21)^D9</f>
        <v>0.80875209975647699</v>
      </c>
      <c r="E10" s="186">
        <f>1/(1+$B$21)^E9</f>
        <v>0.72731598369420425</v>
      </c>
      <c r="F10" s="186">
        <f>1/(1+$B$21)^F9</f>
        <v>0.65407995886051051</v>
      </c>
      <c r="G10" s="186">
        <f>1/(1+$B$21)^G9</f>
        <v>0.58821832899913529</v>
      </c>
    </row>
    <row r="11" spans="1:10" ht="32" customHeight="1">
      <c r="A11" s="130" t="s">
        <v>443</v>
      </c>
      <c r="B11" s="130" t="s">
        <v>26</v>
      </c>
      <c r="C11" s="172">
        <f>C8*C10</f>
        <v>-845.65426071728882</v>
      </c>
      <c r="D11" s="172">
        <f>D8*D10</f>
        <v>1181.6736613031028</v>
      </c>
      <c r="E11" s="172">
        <f>E8*E10</f>
        <v>2017.4866027057328</v>
      </c>
      <c r="F11" s="172">
        <f>F8*F10</f>
        <v>2056.6123995726048</v>
      </c>
      <c r="G11" s="172">
        <f>G8*G10</f>
        <v>2258.5487342305923</v>
      </c>
    </row>
    <row r="12" spans="1:10">
      <c r="A12" s="130"/>
      <c r="B12" s="130"/>
      <c r="C12" s="130"/>
      <c r="D12" s="130"/>
      <c r="E12" s="130"/>
      <c r="F12" s="130"/>
      <c r="G12" s="130"/>
    </row>
    <row r="13" spans="1:10">
      <c r="A13" s="162" t="s">
        <v>444</v>
      </c>
      <c r="B13" s="162"/>
      <c r="C13" s="162"/>
      <c r="D13" s="162"/>
      <c r="E13" s="162"/>
      <c r="F13" s="162"/>
      <c r="G13" s="162"/>
    </row>
    <row r="14" spans="1:10">
      <c r="A14" s="130" t="s">
        <v>445</v>
      </c>
      <c r="B14" s="175">
        <v>6.5000000000000002E-2</v>
      </c>
      <c r="C14" s="130"/>
      <c r="D14" s="130"/>
      <c r="E14" s="130"/>
      <c r="F14" s="130"/>
      <c r="G14" s="130"/>
    </row>
    <row r="15" spans="1:10">
      <c r="A15" s="130" t="s">
        <v>446</v>
      </c>
      <c r="B15" s="189">
        <v>1</v>
      </c>
      <c r="C15" s="130"/>
      <c r="D15" s="130"/>
      <c r="E15" s="130"/>
      <c r="F15" s="130"/>
      <c r="G15" s="130"/>
    </row>
    <row r="16" spans="1:10">
      <c r="A16" s="130" t="s">
        <v>447</v>
      </c>
      <c r="B16" s="175">
        <v>0.06</v>
      </c>
      <c r="C16" s="130"/>
      <c r="D16" s="130"/>
      <c r="E16" s="130"/>
      <c r="F16" s="130"/>
      <c r="G16" s="130"/>
    </row>
    <row r="17" spans="1:7">
      <c r="A17" s="130" t="s">
        <v>448</v>
      </c>
      <c r="B17" s="167">
        <f>B14+B15*B16</f>
        <v>0.125</v>
      </c>
      <c r="C17" s="130"/>
      <c r="D17" s="130"/>
      <c r="E17" s="130"/>
      <c r="F17" s="130"/>
      <c r="G17" s="130"/>
    </row>
    <row r="18" spans="1:7">
      <c r="A18" s="130" t="s">
        <v>449</v>
      </c>
      <c r="B18" s="167">
        <v>0.08</v>
      </c>
      <c r="C18" s="130"/>
      <c r="D18" s="130"/>
      <c r="E18" s="130"/>
      <c r="F18" s="130"/>
      <c r="G18" s="130"/>
    </row>
    <row r="19" spans="1:7">
      <c r="A19" s="130" t="s">
        <v>450</v>
      </c>
      <c r="B19" s="167">
        <f>'07_Income_Statement'!F36</f>
        <v>0.252</v>
      </c>
      <c r="C19" s="130"/>
      <c r="D19" s="130"/>
      <c r="E19" s="130"/>
      <c r="F19" s="130"/>
      <c r="G19" s="130"/>
    </row>
    <row r="20" spans="1:7">
      <c r="A20" s="130" t="s">
        <v>451</v>
      </c>
      <c r="B20" s="175">
        <v>0.2</v>
      </c>
      <c r="C20" s="130"/>
      <c r="D20" s="130"/>
      <c r="E20" s="130"/>
      <c r="F20" s="130"/>
      <c r="G20" s="130"/>
    </row>
    <row r="21" spans="1:7">
      <c r="A21" s="130" t="s">
        <v>452</v>
      </c>
      <c r="B21" s="167">
        <f>B17*(1-B20)+B18*(1-B19)*B20</f>
        <v>0.11196800000000001</v>
      </c>
      <c r="C21" s="130"/>
      <c r="D21" s="130"/>
      <c r="E21" s="130"/>
      <c r="F21" s="130"/>
      <c r="G21" s="130"/>
    </row>
    <row r="22" spans="1:7">
      <c r="A22" s="130" t="s">
        <v>453</v>
      </c>
      <c r="B22" s="175">
        <v>0.04</v>
      </c>
      <c r="C22" s="130"/>
      <c r="D22" s="130"/>
      <c r="E22" s="130"/>
      <c r="F22" s="130"/>
      <c r="G22" s="130"/>
    </row>
    <row r="23" spans="1:7">
      <c r="A23" s="130"/>
      <c r="B23" s="130"/>
      <c r="C23" s="130"/>
      <c r="D23" s="130"/>
      <c r="E23" s="130"/>
      <c r="F23" s="130"/>
      <c r="G23" s="130"/>
    </row>
    <row r="24" spans="1:7">
      <c r="A24" s="162" t="s">
        <v>454</v>
      </c>
      <c r="B24" s="162"/>
      <c r="C24" s="162"/>
      <c r="D24" s="162"/>
      <c r="E24" s="162"/>
      <c r="F24" s="162"/>
      <c r="G24" s="162"/>
    </row>
    <row r="25" spans="1:7">
      <c r="A25" s="130" t="s">
        <v>455</v>
      </c>
      <c r="B25" s="130" t="s">
        <v>26</v>
      </c>
      <c r="C25" s="190">
        <f>SUM(C11:G11)</f>
        <v>6668.6671370947433</v>
      </c>
      <c r="D25" s="130"/>
      <c r="E25" s="130"/>
      <c r="F25" s="130"/>
      <c r="G25" s="130"/>
    </row>
    <row r="26" spans="1:7">
      <c r="A26" s="130" t="s">
        <v>456</v>
      </c>
      <c r="B26" s="130" t="s">
        <v>26</v>
      </c>
      <c r="C26" s="190">
        <f>G8</f>
        <v>3839.6435862064282</v>
      </c>
      <c r="D26" s="130"/>
      <c r="E26" s="130"/>
      <c r="F26" s="130"/>
      <c r="G26" s="130"/>
    </row>
    <row r="27" spans="1:7">
      <c r="A27" s="130" t="s">
        <v>457</v>
      </c>
      <c r="B27" s="130" t="s">
        <v>26</v>
      </c>
      <c r="C27" s="190">
        <f>C26*(1+B22)/(B21-B22)</f>
        <v>55486.17899142237</v>
      </c>
      <c r="D27" s="130"/>
      <c r="E27" s="130"/>
      <c r="F27" s="130"/>
      <c r="G27" s="130"/>
    </row>
    <row r="28" spans="1:7">
      <c r="A28" s="130" t="s">
        <v>458</v>
      </c>
      <c r="B28" s="130" t="s">
        <v>26</v>
      </c>
      <c r="C28" s="190">
        <f>C27/(1+B21)^G9</f>
        <v>32637.987488881394</v>
      </c>
      <c r="D28" s="130"/>
      <c r="E28" s="130"/>
      <c r="F28" s="130"/>
      <c r="G28" s="130"/>
    </row>
    <row r="29" spans="1:7">
      <c r="A29" s="130" t="s">
        <v>459</v>
      </c>
      <c r="B29" s="130" t="s">
        <v>26</v>
      </c>
      <c r="C29" s="190">
        <f>C25+C28</f>
        <v>39306.654625976138</v>
      </c>
      <c r="D29" s="130"/>
      <c r="E29" s="130"/>
      <c r="F29" s="130"/>
      <c r="G29" s="130"/>
    </row>
    <row r="30" spans="1:7">
      <c r="A30" s="130" t="s">
        <v>518</v>
      </c>
      <c r="B30" s="130" t="s">
        <v>26</v>
      </c>
      <c r="C30" s="190">
        <f>'08_Balance_Sheet'!E86</f>
        <v>41532.899999999994</v>
      </c>
      <c r="D30" s="130"/>
      <c r="E30" s="130"/>
      <c r="F30" s="130"/>
      <c r="G30" s="130"/>
    </row>
    <row r="31" spans="1:7">
      <c r="A31" s="130" t="s">
        <v>460</v>
      </c>
      <c r="B31" s="130" t="s">
        <v>26</v>
      </c>
      <c r="C31" s="229">
        <f>MAX(C29-C30,0)</f>
        <v>0</v>
      </c>
      <c r="D31" s="130"/>
      <c r="E31" s="130"/>
      <c r="F31" s="130"/>
      <c r="G31" s="130"/>
    </row>
    <row r="32" spans="1:7" ht="15" thickBot="1">
      <c r="A32" s="130" t="s">
        <v>461</v>
      </c>
      <c r="B32" s="130" t="s">
        <v>329</v>
      </c>
      <c r="C32" s="190">
        <f>'07_Income_Statement'!E42</f>
        <v>38.681318681318679</v>
      </c>
      <c r="D32" s="130"/>
      <c r="E32" s="130"/>
      <c r="F32" s="130"/>
      <c r="G32" s="130"/>
    </row>
    <row r="33" spans="1:7" ht="15" thickBot="1">
      <c r="A33" s="130" t="s">
        <v>462</v>
      </c>
      <c r="B33" s="130" t="s">
        <v>46</v>
      </c>
      <c r="C33" s="230">
        <f>C31/C32</f>
        <v>0</v>
      </c>
      <c r="D33" s="130"/>
      <c r="E33" s="130"/>
      <c r="F33" s="130"/>
      <c r="G33" s="130"/>
    </row>
    <row r="34" spans="1:7">
      <c r="A34" s="130" t="s">
        <v>463</v>
      </c>
      <c r="B34" s="130" t="s">
        <v>178</v>
      </c>
      <c r="C34" s="167">
        <f>C28/C29</f>
        <v>0.8303425412172396</v>
      </c>
      <c r="D34" s="130"/>
      <c r="E34" s="130"/>
      <c r="F34" s="130"/>
      <c r="G34" s="130"/>
    </row>
    <row r="35" spans="1:7">
      <c r="A35" s="130" t="s">
        <v>576</v>
      </c>
      <c r="B35" s="130" t="s">
        <v>259</v>
      </c>
      <c r="C35" s="130" t="str">
        <f>IF(B21&gt;B22,"OK","CHECK")</f>
        <v>OK</v>
      </c>
      <c r="D35" s="130"/>
      <c r="E35" s="130"/>
      <c r="F35" s="130"/>
      <c r="G35" s="130"/>
    </row>
    <row r="36" spans="1:7">
      <c r="A36" s="130" t="s">
        <v>575</v>
      </c>
      <c r="B36" s="130" t="s">
        <v>26</v>
      </c>
      <c r="C36" s="229">
        <f>C29-C30</f>
        <v>-2226.2453740238561</v>
      </c>
      <c r="D36" s="130"/>
      <c r="E36" s="130"/>
      <c r="F36" s="130"/>
      <c r="G36" s="130"/>
    </row>
    <row r="37" spans="1:7">
      <c r="A37" s="130"/>
      <c r="B37" s="130"/>
      <c r="C37" s="130"/>
      <c r="D37" s="130"/>
      <c r="E37" s="130"/>
      <c r="F37" s="130"/>
      <c r="G37" s="130"/>
    </row>
    <row r="38" spans="1:7">
      <c r="A38" s="162" t="s">
        <v>464</v>
      </c>
      <c r="B38" s="162"/>
      <c r="C38" s="162"/>
      <c r="D38" s="162"/>
      <c r="E38" s="162"/>
      <c r="F38" s="162"/>
      <c r="G38" s="162"/>
    </row>
    <row r="39" spans="1:7">
      <c r="A39" s="130"/>
      <c r="B39" s="167" t="s">
        <v>465</v>
      </c>
      <c r="C39" s="167">
        <v>0.03</v>
      </c>
      <c r="D39" s="167">
        <f>$B$22</f>
        <v>0.04</v>
      </c>
      <c r="E39" s="167">
        <v>0.05</v>
      </c>
      <c r="F39" s="130"/>
      <c r="G39" s="130"/>
    </row>
    <row r="40" spans="1:7">
      <c r="A40" s="130"/>
      <c r="B40" s="167">
        <v>0.1</v>
      </c>
      <c r="C40" s="190" cm="1">
        <f t="array" ref="C40">MAX((SUMPRODUCT($C$8:$G$8,1/(1+$B40)^$C$9:$G$9)+($G$8*(1+C$39)/($B40-C$39))/(1+$B40)^$G$9-'08_Balance_Sheet'!$E$86)/'07_Income_Statement'!$E$42,0)</f>
        <v>13.34248057460273</v>
      </c>
      <c r="D40" s="190" cm="1">
        <f t="array" ref="D40">MAX((SUMPRODUCT($C$8:$G$8,1/(1+$B40)^$C$9:$G$9)+($G$8*(1+D$39)/($B40-D$39))/(1+$B40)^$G$9-'08_Balance_Sheet'!$E$86)/'07_Income_Statement'!$E$42,0)</f>
        <v>174.76704038240277</v>
      </c>
      <c r="E40" s="190" cm="1">
        <f t="array" ref="E40">MAX((SUMPRODUCT($C$8:$G$8,1/(1+$B40)^$C$9:$G$9)+($G$8*(1+E$39)/($B40-E$39))/(1+$B40)^$G$9-'08_Balance_Sheet'!$E$86)/'07_Income_Statement'!$E$42,0)</f>
        <v>400.76142411332302</v>
      </c>
      <c r="F40" s="130"/>
      <c r="G40" s="130"/>
    </row>
    <row r="41" spans="1:7">
      <c r="A41" s="130"/>
      <c r="B41" s="167">
        <f>$B$21</f>
        <v>0.11196800000000001</v>
      </c>
      <c r="C41" s="190" cm="1">
        <f t="array" ref="C41">MAX((SUMPRODUCT($C$8:$G$8,1/(1+$B41)^$C$9:$G$9)+($G$8*(1+C$39)/($B41-C$39))/(1+$B41)^$G$9-'08_Balance_Sheet'!$E$86)/'07_Income_Statement'!$E$42,0)</f>
        <v>0</v>
      </c>
      <c r="D41" s="190" cm="1">
        <f t="array" ref="D41">MAX((SUMPRODUCT($C$8:$G$8,1/(1+$B41)^$C$9:$G$9)+($G$8*(1+D$39)/($B41-D$39))/(1+$B41)^$G$9-'08_Balance_Sheet'!$E$86)/'07_Income_Statement'!$E$42,0)</f>
        <v>0</v>
      </c>
      <c r="E41" s="190" cm="1">
        <f t="array" ref="E41">MAX((SUMPRODUCT($C$8:$G$8,1/(1+$B41)^$C$9:$G$9)+($G$8*(1+E$39)/($B41-E$39))/(1+$B41)^$G$9-'08_Balance_Sheet'!$E$86)/'07_Income_Statement'!$E$42,0)</f>
        <v>88.030471690110147</v>
      </c>
      <c r="F41" s="130"/>
      <c r="G41" s="130"/>
    </row>
    <row r="42" spans="1:7">
      <c r="A42" s="130"/>
      <c r="B42" s="167">
        <v>0.12</v>
      </c>
      <c r="C42" s="190" cm="1">
        <f t="array" ref="C42">MAX((SUMPRODUCT($C$8:$G$8,1/(1+$B42)^$C$9:$G$9)+($G$8*(1+C$39)/($B42-C$39))/(1+$B42)^$G$9-'08_Balance_Sheet'!$E$86)/'07_Income_Statement'!$E$42,0)</f>
        <v>0</v>
      </c>
      <c r="D42" s="190" cm="1">
        <f t="array" ref="D42">MAX((SUMPRODUCT($C$8:$G$8,1/(1+$B42)^$C$9:$G$9)+($G$8*(1+D$39)/($B42-D$39))/(1+$B42)^$G$9-'08_Balance_Sheet'!$E$86)/'07_Income_Statement'!$E$42,0)</f>
        <v>0</v>
      </c>
      <c r="E42" s="190" cm="1">
        <f t="array" ref="E42">MAX((SUMPRODUCT($C$8:$G$8,1/(1+$B42)^$C$9:$G$9)+($G$8*(1+E$39)/($B42-E$39))/(1+$B42)^$G$9-'08_Balance_Sheet'!$E$86)/'07_Income_Statement'!$E$42,0)</f>
        <v>0</v>
      </c>
      <c r="F42" s="130"/>
      <c r="G42" s="130"/>
    </row>
    <row r="43" spans="1:7">
      <c r="A43" s="130"/>
      <c r="B43" s="167">
        <v>0.13</v>
      </c>
      <c r="C43" s="190" cm="1">
        <f t="array" ref="C43">MAX((SUMPRODUCT($C$8:$G$8,1/(1+$B43)^$C$9:$G$9)+($G$8*(1+C$39)/($B43-C$39))/(1+$B43)^$G$9-'08_Balance_Sheet'!$E$86)/'07_Income_Statement'!$E$42,0)</f>
        <v>0</v>
      </c>
      <c r="D43" s="190" cm="1">
        <f t="array" ref="D43">MAX((SUMPRODUCT($C$8:$G$8,1/(1+$B43)^$C$9:$G$9)+($G$8*(1+D$39)/($B43-D$39))/(1+$B43)^$G$9-'08_Balance_Sheet'!$E$86)/'07_Income_Statement'!$E$42,0)</f>
        <v>0</v>
      </c>
      <c r="E43" s="190" cm="1">
        <f t="array" ref="E43">MAX((SUMPRODUCT($C$8:$G$8,1/(1+$B43)^$C$9:$G$9)+($G$8*(1+E$39)/($B43-E$39))/(1+$B43)^$G$9-'08_Balance_Sheet'!$E$86)/'07_Income_Statement'!$E$42,0)</f>
        <v>0</v>
      </c>
      <c r="F43" s="130"/>
      <c r="G43" s="130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FA7BE-63F0-A043-BA3F-B818C839AD42}">
  <sheetPr>
    <tabColor rgb="FF2F5D50"/>
  </sheetPr>
  <dimension ref="A1:J25"/>
  <sheetViews>
    <sheetView showGridLines="0" tabSelected="1" workbookViewId="0">
      <selection activeCell="G23" sqref="G23"/>
    </sheetView>
  </sheetViews>
  <sheetFormatPr baseColWidth="10" defaultRowHeight="14"/>
  <cols>
    <col min="1" max="1" width="40.83203125" customWidth="1"/>
    <col min="2" max="2" width="20.83203125" customWidth="1"/>
    <col min="3" max="3" width="45" customWidth="1"/>
  </cols>
  <sheetData>
    <row r="1" spans="1:10" ht="19">
      <c r="A1" s="179" t="s">
        <v>126</v>
      </c>
      <c r="B1" s="179"/>
      <c r="C1" s="179"/>
      <c r="D1" s="179"/>
      <c r="E1" s="179"/>
      <c r="F1" s="179"/>
      <c r="G1" s="179"/>
      <c r="H1" s="179"/>
      <c r="I1" s="179"/>
      <c r="J1" s="179"/>
    </row>
    <row r="2" spans="1:10">
      <c r="A2" s="130" t="s">
        <v>491</v>
      </c>
      <c r="B2" s="130"/>
      <c r="C2" s="130"/>
    </row>
    <row r="3" spans="1:10">
      <c r="A3" s="130" t="s">
        <v>579</v>
      </c>
      <c r="B3" s="130"/>
      <c r="C3" s="130"/>
    </row>
    <row r="4" spans="1:10">
      <c r="A4" s="130"/>
      <c r="B4" s="130"/>
      <c r="C4" s="130"/>
    </row>
    <row r="5" spans="1:10">
      <c r="A5" s="155" t="s">
        <v>492</v>
      </c>
      <c r="B5" s="155"/>
      <c r="C5" s="155"/>
    </row>
    <row r="6" spans="1:10">
      <c r="A6" s="130" t="s">
        <v>551</v>
      </c>
      <c r="B6" s="130"/>
      <c r="C6" s="130" t="s">
        <v>561</v>
      </c>
    </row>
    <row r="7" spans="1:10">
      <c r="A7" s="130" t="s">
        <v>490</v>
      </c>
      <c r="B7" s="130" t="s">
        <v>46</v>
      </c>
      <c r="C7" s="205">
        <v>5001</v>
      </c>
    </row>
    <row r="8" spans="1:10">
      <c r="A8" s="130" t="s">
        <v>461</v>
      </c>
      <c r="B8" s="130" t="s">
        <v>329</v>
      </c>
      <c r="C8" s="176">
        <f>'07_Income_Statement'!E42</f>
        <v>38.681318681318679</v>
      </c>
    </row>
    <row r="9" spans="1:10">
      <c r="A9" s="130" t="s">
        <v>493</v>
      </c>
      <c r="B9" s="130" t="s">
        <v>26</v>
      </c>
      <c r="C9" s="176">
        <f>C7*C8</f>
        <v>193445.27472527471</v>
      </c>
    </row>
    <row r="10" spans="1:10">
      <c r="A10" s="130" t="s">
        <v>427</v>
      </c>
      <c r="B10" s="130" t="s">
        <v>26</v>
      </c>
      <c r="C10" s="176">
        <f>'08_Balance_Sheet'!E86</f>
        <v>41532.899999999994</v>
      </c>
    </row>
    <row r="11" spans="1:10">
      <c r="A11" s="130" t="s">
        <v>494</v>
      </c>
      <c r="B11" s="130" t="s">
        <v>26</v>
      </c>
      <c r="C11" s="176">
        <f>C9+C10</f>
        <v>234978.1747252747</v>
      </c>
    </row>
    <row r="12" spans="1:10">
      <c r="A12" s="130" t="s">
        <v>495</v>
      </c>
      <c r="B12" s="130" t="s">
        <v>26</v>
      </c>
      <c r="C12" s="176">
        <f>'11_DCF'!C29</f>
        <v>39306.654625976138</v>
      </c>
    </row>
    <row r="13" spans="1:10">
      <c r="A13" s="130" t="s">
        <v>496</v>
      </c>
      <c r="B13" s="130" t="s">
        <v>232</v>
      </c>
      <c r="C13" s="187">
        <f>C11/C12</f>
        <v>5.9780761543107097</v>
      </c>
    </row>
    <row r="14" spans="1:10">
      <c r="A14" s="130" t="s">
        <v>497</v>
      </c>
      <c r="B14" s="130" t="s">
        <v>26</v>
      </c>
      <c r="C14" s="172">
        <f>'09_Cash_Flow'!J16*C13</f>
        <v>22953.681763752706</v>
      </c>
    </row>
    <row r="15" spans="1:10">
      <c r="A15" s="130" t="s">
        <v>498</v>
      </c>
      <c r="B15" s="130" t="s">
        <v>178</v>
      </c>
      <c r="C15" s="167">
        <f>C14/'07_Income_Statement'!J11</f>
        <v>0.14999343110264365</v>
      </c>
    </row>
    <row r="16" spans="1:10">
      <c r="A16" s="130" t="s">
        <v>499</v>
      </c>
      <c r="B16" s="130" t="s">
        <v>178</v>
      </c>
      <c r="C16" s="167">
        <f>'09_Cash_Flow'!J17</f>
        <v>2.5090585538038928E-2</v>
      </c>
    </row>
    <row r="17" spans="1:3">
      <c r="A17" s="130" t="s">
        <v>500</v>
      </c>
      <c r="B17" s="130" t="s">
        <v>258</v>
      </c>
      <c r="C17" s="167">
        <f>C15-C16</f>
        <v>0.12490284556460472</v>
      </c>
    </row>
    <row r="18" spans="1:3">
      <c r="A18" s="130"/>
      <c r="B18" s="130"/>
      <c r="C18" s="130"/>
    </row>
    <row r="19" spans="1:3">
      <c r="A19" s="130"/>
      <c r="B19" s="130"/>
      <c r="C19" s="130"/>
    </row>
    <row r="20" spans="1:3">
      <c r="A20" s="155" t="s">
        <v>501</v>
      </c>
      <c r="B20" s="155"/>
      <c r="C20" s="155"/>
    </row>
    <row r="21" spans="1:3">
      <c r="A21" s="130" t="s">
        <v>502</v>
      </c>
      <c r="B21" s="130"/>
      <c r="C21" s="206">
        <f>C7</f>
        <v>5001</v>
      </c>
    </row>
    <row r="22" spans="1:3">
      <c r="A22" s="130" t="s">
        <v>503</v>
      </c>
      <c r="B22" s="130"/>
      <c r="C22" s="206">
        <f>'11_DCF'!C33</f>
        <v>0</v>
      </c>
    </row>
    <row r="23" spans="1:3">
      <c r="A23" s="130" t="s">
        <v>504</v>
      </c>
      <c r="B23" s="130" t="s">
        <v>178</v>
      </c>
      <c r="C23" s="167">
        <f>C22/C21-1</f>
        <v>-1</v>
      </c>
    </row>
    <row r="24" spans="1:3">
      <c r="A24" s="130"/>
      <c r="B24" s="130"/>
      <c r="C24" s="130"/>
    </row>
    <row r="25" spans="1:3">
      <c r="A25" s="155" t="s">
        <v>505</v>
      </c>
      <c r="B25" s="155"/>
      <c r="C25" s="155" t="s">
        <v>511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00_Cover</vt:lpstr>
      <vt:lpstr>01_Sources</vt:lpstr>
      <vt:lpstr>02_Raw_Financials</vt:lpstr>
      <vt:lpstr>03_Raw_Operating_KPIs</vt:lpstr>
      <vt:lpstr>04_Industry_Data</vt:lpstr>
      <vt:lpstr>05_Historical_Analysis</vt:lpstr>
      <vt:lpstr>06_Operating_Model</vt:lpstr>
      <vt:lpstr>07_Income_Statement</vt:lpstr>
      <vt:lpstr>08_Balance_Sheet</vt:lpstr>
      <vt:lpstr>09_Cash_Flow</vt:lpstr>
      <vt:lpstr>10_Scenarios</vt:lpstr>
      <vt:lpstr>11_DCF</vt:lpstr>
      <vt:lpstr>12_Reverse_DCF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Keyur Marolia</cp:lastModifiedBy>
  <dcterms:created xsi:type="dcterms:W3CDTF">2026-08-27T11:43:23Z</dcterms:created>
  <dcterms:modified xsi:type="dcterms:W3CDTF">2026-09-08T04:53:55Z</dcterms:modified>
</cp:coreProperties>
</file>